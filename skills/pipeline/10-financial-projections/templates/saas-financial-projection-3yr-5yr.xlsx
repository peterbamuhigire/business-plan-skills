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ARR-Waterfall" sheetId="3" r:id="rId3"/>
    <sheet name="MRR-Detail" sheetId="4" r:id="rId4"/>
    <sheet name="Headcount" sheetId="5" r:id="rId5"/>
    <sheet name="PnL" sheetId="6" r:id="rId6"/>
    <sheet name="Cash" sheetId="7" r:id="rId7"/>
    <sheet name="Sensitivity" sheetId="8" r:id="rId8"/>
    <sheet name="Scenarios" sheetId="9" r:id="rId9"/>
    <sheet name="Bankability-Dashboard" sheetId="10" r:id="rId10"/>
    <sheet name="Africa-Notes" sheetId="11" r:id="rId11"/>
  </sheets>
  <definedNames>
    <definedName name="ARPA_Mult">Inputs!$B$8</definedName>
    <definedName name="ARPA_P">Inputs!$B$18</definedName>
    <definedName name="CAC_P">Inputs!$B$96</definedName>
    <definedName name="Capex_Y1">Inputs!$B$82</definedName>
    <definedName name="Capex_Y2">Inputs!$B$83</definedName>
    <definedName name="Capex_Y3">Inputs!$B$84</definedName>
    <definedName name="Capex_Y4">Inputs!$B$85</definedName>
    <definedName name="Capex_Y5">Inputs!$B$86</definedName>
    <definedName name="Churn_Mult">Inputs!$B$7</definedName>
    <definedName name="COGS_PCT">Inputs!$B$46</definedName>
    <definedName name="Contraction_P">Inputs!$B$36</definedName>
    <definedName name="Eq_Y1">Inputs!$B$88</definedName>
    <definedName name="Eq_Y2">Inputs!$B$89</definedName>
    <definedName name="Eq_Y3">Inputs!$B$90</definedName>
    <definedName name="Expansion_P">Inputs!$B$35</definedName>
    <definedName name="FX_P">Inputs!$B$99</definedName>
    <definedName name="G_Y1">Inputs!$B$25</definedName>
    <definedName name="G_Y2">Inputs!$B$26</definedName>
    <definedName name="G_Y3">Inputs!$B$27</definedName>
    <definedName name="G_Y4">Inputs!$B$28</definedName>
    <definedName name="G_Y5">Inputs!$B$29</definedName>
    <definedName name="GA_Y1">Inputs!$B$56</definedName>
    <definedName name="GA_Y2">Inputs!$B$57</definedName>
    <definedName name="GA_Y3p">Inputs!$B$58</definedName>
    <definedName name="GM_P">Inputs!$B$47</definedName>
    <definedName name="HC_Cost_Y1">Inputs!$D$75</definedName>
    <definedName name="HC_Q_Cost_Row">Headcount!$A$15</definedName>
    <definedName name="HC_Total_Y1">Inputs!$D$74</definedName>
    <definedName name="Logo_Churn_P">Inputs!$B$37</definedName>
    <definedName name="Logo_Mult">Inputs!$B$6</definedName>
    <definedName name="M1_Logos">Inputs!$B$30</definedName>
    <definedName name="RD_Y1">Inputs!$B$53</definedName>
    <definedName name="RD_Y2">Inputs!$B$54</definedName>
    <definedName name="RD_Y3p">Inputs!$B$55</definedName>
    <definedName name="Rev_Churn_P">Inputs!$B$38</definedName>
    <definedName name="Scen_Active">Inputs!$B$5</definedName>
    <definedName name="SM_Y1">Inputs!$B$50</definedName>
    <definedName name="SM_Y2">Inputs!$B$51</definedName>
    <definedName name="SM_Y3p">Inputs!$B$52</definedName>
    <definedName name="Start_Cash">Inputs!$B$87</definedName>
    <definedName name="Tax_Rate">Inputs!$B$93</definedName>
  </definedNames>
  <calcPr calcId="124519" fullCalcOnLoad="1"/>
</workbook>
</file>

<file path=xl/sharedStrings.xml><?xml version="1.0" encoding="utf-8"?>
<sst xmlns="http://schemas.openxmlformats.org/spreadsheetml/2006/main" count="492" uniqueCount="350">
  <si>
    <t>SaaS Financial Projection — 3-Year / 5-Year (60 Months)</t>
  </si>
  <si>
    <t>Purpose</t>
  </si>
  <si>
    <t>Canonical SaaS 60-month financial model implementing Mersch's Multi-Step P&amp;L, ARR Waterfall discipline, Cotton's headcount Rule of 3-and-10, and the Working-Capital Trough check. Single source of truth feeding the bankability dashboard, investor pitch, lender package, and quarterly board pack.</t>
  </si>
  <si>
    <t>Sheets in this workbook</t>
  </si>
  <si>
    <t>Inputs</t>
  </si>
  <si>
    <t>Pricing, ACV mix, new logos by channel, growth, GM, headcount-by-role, salaries, capex, working capital, FX.</t>
  </si>
  <si>
    <t>ARR-Waterfall</t>
  </si>
  <si>
    <t>60-month opening + new + expansion − contraction − churned = closing ARR.</t>
  </si>
  <si>
    <t>MRR-Detail</t>
  </si>
  <si>
    <t>MRR build by tier &amp; channel; reconciliation to ARR.</t>
  </si>
  <si>
    <t>Headcount</t>
  </si>
  <si>
    <t>Quarterly headcount by role with cost rollup.</t>
  </si>
  <si>
    <t>PnL</t>
  </si>
  <si>
    <t>Multi-Step P&amp;L: Rev → COGS → GP → S&amp;M → R&amp;D → G&amp;A → EBITDA → Adj → NI. Monthly + quarterly + annual.</t>
  </si>
  <si>
    <t>Cash</t>
  </si>
  <si>
    <t>CFO + capex + financing; running balance; trough month flagged; runway.</t>
  </si>
  <si>
    <t>Sensitivity</t>
  </si>
  <si>
    <t>2-D table: new-logo growth × churn → ending ARR + runway.</t>
  </si>
  <si>
    <t>Scenarios</t>
  </si>
  <si>
    <t>Base / Bull / Bear active scenario toggle.</t>
  </si>
  <si>
    <t>Bankability-Dashboard</t>
  </si>
  <si>
    <t>Rule of 40, LTV:CAC, Payback, NRR, Burn Multiple, Magic Number, Quick Ratio + traffic lights.</t>
  </si>
  <si>
    <t>Africa-Notes</t>
  </si>
  <si>
    <t>FX, M-Pesa, MoMo, USD-Enterprise tier, DSO, prepayment uptake.</t>
  </si>
  <si>
    <t>Owner</t>
  </si>
  <si>
    <t>CFO (founder pre-CFO). Investor-facing: review with CEO monthly.</t>
  </si>
  <si>
    <t>Update cadence</t>
  </si>
  <si>
    <t>Monthly: refresh actuals against plan. Quarterly: re-forecast next 4 quarters. Annually: roll forward year-by-year.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</si>
  <si>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</si>
  <si>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</si>
  <si>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</si>
  <si>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Mersch (Hacking SaaS) ch.5-6; Cotton (Run a SaaS Business) Rule of 3-and-10; OpenView SaaS Benchmarks; KeyBanc SaaS Survey; Skok forentrepreneurs.com; this engine's saas-financial-projection-template-3yr-5yr.md.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</si>
  <si>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</si>
  <si>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</si>
  <si>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SaaS 60-Month Financial Projection</t>
  </si>
  <si>
    <t>Yellow = editable input. White = formula. Named ranges in use throughout.</t>
  </si>
  <si>
    <t>0. Scenario Toggle</t>
  </si>
  <si>
    <t>Active scenario (Base / Bull / Bear)</t>
  </si>
  <si>
    <t>Base</t>
  </si>
  <si>
    <t>Drives Scenario_Active multipliers on logos, churn, ARPA, FX.</t>
  </si>
  <si>
    <t>Logo growth multiplier (active scenario)</t>
  </si>
  <si>
    <t>Churn multiplier (active scenario)</t>
  </si>
  <si>
    <t>ARPA multiplier (active scenario)</t>
  </si>
  <si>
    <t>1. Pricing &amp; Tier Mix</t>
  </si>
  <si>
    <t>Tier 1 (Free/Starter) MRR $</t>
  </si>
  <si>
    <t>Tier 2 (Pro) MRR $</t>
  </si>
  <si>
    <t>Tier 3 (Enterprise USD) MRR $</t>
  </si>
  <si>
    <t>Mix % Tier 1</t>
  </si>
  <si>
    <t>Mix % Tier 2</t>
  </si>
  <si>
    <t>Mix % Tier 3</t>
  </si>
  <si>
    <t>Annual price escalator</t>
  </si>
  <si>
    <t>Blended ARPA ($/mo) [calc, scenario-adj]</t>
  </si>
  <si>
    <t>2. New Logos / Month (Year 1 baseline; Y2+ from growth rates)</t>
  </si>
  <si>
    <t>M1 new logos (paid)</t>
  </si>
  <si>
    <t>M1 new logos (inbound)</t>
  </si>
  <si>
    <t>M1 new logos (outbound)</t>
  </si>
  <si>
    <t>M1 new logos (partner)</t>
  </si>
  <si>
    <t>Monthly new-logo growth rate Year 1</t>
  </si>
  <si>
    <t>Monthly new-logo growth rate Year 2</t>
  </si>
  <si>
    <t>Monthly new-logo growth rate Year 3</t>
  </si>
  <si>
    <t>Monthly new-logo growth rate Year 4</t>
  </si>
  <si>
    <t>Monthly new-logo growth rate Year 5</t>
  </si>
  <si>
    <t>M1 new logos total [calc]</t>
  </si>
  <si>
    <t>3. Churn &amp; Expansion (monthly)</t>
  </si>
  <si>
    <t>Logo churn (gross) monthly</t>
  </si>
  <si>
    <t>Revenue churn (gross) monthly</t>
  </si>
  <si>
    <t>Expansion revenue monthly rate</t>
  </si>
  <si>
    <t>Contraction monthly rate</t>
  </si>
  <si>
    <t>Scenario-adjusted logo churn [calc]</t>
  </si>
  <si>
    <t>Scenario-adjusted revenue churn [calc]</t>
  </si>
  <si>
    <t>4. Cost of Revenue % of revenue</t>
  </si>
  <si>
    <t>Hosting / infra %</t>
  </si>
  <si>
    <t>Customer support %</t>
  </si>
  <si>
    <t>Payment-rail fee %</t>
  </si>
  <si>
    <t>3rd-party / API / data %</t>
  </si>
  <si>
    <t>Customer-success %</t>
  </si>
  <si>
    <t>Total COGS % [calc]</t>
  </si>
  <si>
    <t>Gross margin % [calc]</t>
  </si>
  <si>
    <t>5. Opex Drivers</t>
  </si>
  <si>
    <t>S&amp;M as % of revenue (Y1)</t>
  </si>
  <si>
    <t>S&amp;M as % of revenue (Y2)</t>
  </si>
  <si>
    <t>S&amp;M as % of revenue (Y3+)</t>
  </si>
  <si>
    <t>R&amp;D as % of revenue (Y1)</t>
  </si>
  <si>
    <t>R&amp;D as % of revenue (Y2)</t>
  </si>
  <si>
    <t>R&amp;D as % of revenue (Y3+)</t>
  </si>
  <si>
    <t>G&amp;A fixed monthly $ Year 1</t>
  </si>
  <si>
    <t>G&amp;A fixed monthly $ Year 2</t>
  </si>
  <si>
    <t>G&amp;A fixed monthly $ Year 3+</t>
  </si>
  <si>
    <t>Annual opex inflation %</t>
  </si>
  <si>
    <t>6. Headcount by Role (per quarter, Y1Q1..Y5Q4)</t>
  </si>
  <si>
    <t>Role</t>
  </si>
  <si>
    <t>Loaded $/year</t>
  </si>
  <si>
    <t>Bucket</t>
  </si>
  <si>
    <t>Y1 HC (avg)</t>
  </si>
  <si>
    <t>Y2 HC</t>
  </si>
  <si>
    <t>Y3 HC</t>
  </si>
  <si>
    <t>Y4–Y5 HC</t>
  </si>
  <si>
    <t>Engineering Lead</t>
  </si>
  <si>
    <t>R&amp;D</t>
  </si>
  <si>
    <t>Software Engineer</t>
  </si>
  <si>
    <t>Product Manager</t>
  </si>
  <si>
    <t>Designer</t>
  </si>
  <si>
    <t>Account Executive</t>
  </si>
  <si>
    <t>S&amp;M</t>
  </si>
  <si>
    <t>SDR / BDR</t>
  </si>
  <si>
    <t>Marketing Manager</t>
  </si>
  <si>
    <t>Customer Success Mgr</t>
  </si>
  <si>
    <t>Finance / Ops</t>
  </si>
  <si>
    <t>G&amp;A</t>
  </si>
  <si>
    <t>CEO / Founder</t>
  </si>
  <si>
    <t>Total Y1 HC</t>
  </si>
  <si>
    <t>Total Y1 loaded cost $</t>
  </si>
  <si>
    <t>7. Working Capital, Capex, Financing</t>
  </si>
  <si>
    <t>DSO — days sales outstanding</t>
  </si>
  <si>
    <t>DPO — days payables outstanding</t>
  </si>
  <si>
    <t>Annual prepayment uptake (% of new contracts)</t>
  </si>
  <si>
    <t>Annual prepayment discount %</t>
  </si>
  <si>
    <t>Capex Year 1 ($)</t>
  </si>
  <si>
    <t>Capex Year 2 ($)</t>
  </si>
  <si>
    <t>Capex Year 3 ($)</t>
  </si>
  <si>
    <t>Capex Year 4 ($)</t>
  </si>
  <si>
    <t>Capex Year 5 ($)</t>
  </si>
  <si>
    <t>Starting cash ($)</t>
  </si>
  <si>
    <t>Equity raised (Year 1) $</t>
  </si>
  <si>
    <t>Equity raised (Year 2) $</t>
  </si>
  <si>
    <t>Equity raised (Year 3) $</t>
  </si>
  <si>
    <t>Debt drawdown (Year 2) $</t>
  </si>
  <si>
    <t>Interest rate on debt</t>
  </si>
  <si>
    <t>Effective tax rate</t>
  </si>
  <si>
    <t>8. CAC Inputs (for bankability dashboard)</t>
  </si>
  <si>
    <t>Blended CAC ($/new logo)</t>
  </si>
  <si>
    <t>9. FX</t>
  </si>
  <si>
    <t>Reporting currency</t>
  </si>
  <si>
    <t>UGX</t>
  </si>
  <si>
    <t>FX (local per USD)</t>
  </si>
  <si>
    <t>Annual FX depreciation %</t>
  </si>
  <si>
    <t>ARR Waterfall — 60 Months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</si>
  <si>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</si>
  <si>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</si>
  <si>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</si>
  <si>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</si>
  <si>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</si>
  <si>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</si>
  <si>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</si>
  <si>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</si>
  <si>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</si>
  <si>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</si>
  <si>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</si>
  <si>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</si>
  <si>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</si>
  <si>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</si>
  <si>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</si>
  <si>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</si>
  <si>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</si>
  <si>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</si>
  <si>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</si>
  <si>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</si>
  <si>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</si>
  <si>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</si>
  <si>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</si>
  <si>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</si>
  <si>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</si>
  <si>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</si>
  <si>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</si>
  <si>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</si>
  <si>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</si>
  <si>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</si>
  <si>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</si>
  <si>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</si>
  <si>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</si>
  <si>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</si>
  <si>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</si>
  <si>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</si>
  <si>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</si>
  <si>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</si>
  <si>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</si>
  <si>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</si>
  <si>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</si>
  <si>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</si>
  <si>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</si>
  <si>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</si>
  <si>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</si>
  <si>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</si>
  <si>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</si>
  <si>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</si>
  <si>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</si>
  <si>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</si>
  <si>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</si>
  <si>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</si>
  <si>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</si>
  <si>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</si>
  <si>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</si>
  <si>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</si>
  <si>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</si>
  <si>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</si>
  <si>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</si>
  <si>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</si>
  <si>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</si>
  <si>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Year</t>
  </si>
  <si>
    <t>New logos (count)</t>
  </si>
  <si>
    <t>Cum customers (end)</t>
  </si>
  <si>
    <t>Opening ARR</t>
  </si>
  <si>
    <t>New ARR</t>
  </si>
  <si>
    <t>Expansion ARR</t>
  </si>
  <si>
    <t>Contraction ARR</t>
  </si>
  <si>
    <t>Churn ARR</t>
  </si>
  <si>
    <t>Ending ARR</t>
  </si>
  <si>
    <t>Net New ARR</t>
  </si>
  <si>
    <t>MRR (end)</t>
  </si>
  <si>
    <t>Annual Snapshot — Ending ARR &amp; YoY Growth</t>
  </si>
  <si>
    <t>End of Year</t>
  </si>
  <si>
    <t>Y1</t>
  </si>
  <si>
    <t>Y2</t>
  </si>
  <si>
    <t>Y3</t>
  </si>
  <si>
    <t>Y4</t>
  </si>
  <si>
    <t>Y5</t>
  </si>
  <si>
    <t>YoY Growth %</t>
  </si>
  <si>
    <t>MRR Detail — by Tier (reconciles to ARR Waterfall)</t>
  </si>
  <si>
    <t>Tier 1 (Starter) MRR</t>
  </si>
  <si>
    <t>Tier 2 (Pro) MRR</t>
  </si>
  <si>
    <t>Tier 3 (Enterprise) MRR</t>
  </si>
  <si>
    <t>Total MRR (sum)</t>
  </si>
  <si>
    <t>ARR check (×12)</t>
  </si>
  <si>
    <t>ARR-Waterfall Ending ARR</t>
  </si>
  <si>
    <t>Reconciliation Δ (should be ≈0)</t>
  </si>
  <si>
    <t>Headcount Plan — Quarterly Y1..Y5</t>
  </si>
  <si>
    <t>Y1Q1</t>
  </si>
  <si>
    <t>Y1Q2</t>
  </si>
  <si>
    <t>Y1Q3</t>
  </si>
  <si>
    <t>Y1Q4</t>
  </si>
  <si>
    <t>Y2Q1</t>
  </si>
  <si>
    <t>Y2Q2</t>
  </si>
  <si>
    <t>Y2Q3</t>
  </si>
  <si>
    <t>Y2Q4</t>
  </si>
  <si>
    <t>Y3Q1</t>
  </si>
  <si>
    <t>Y3Q2</t>
  </si>
  <si>
    <t>Y3Q3</t>
  </si>
  <si>
    <t>Y3Q4</t>
  </si>
  <si>
    <t>Y4Q1</t>
  </si>
  <si>
    <t>Y4Q2</t>
  </si>
  <si>
    <t>Y4Q3</t>
  </si>
  <si>
    <t>Y4Q4</t>
  </si>
  <si>
    <t>Y5Q1</t>
  </si>
  <si>
    <t>Y5Q2</t>
  </si>
  <si>
    <t>Y5Q3</t>
  </si>
  <si>
    <t>Y5Q4</t>
  </si>
  <si>
    <t>Total Headcount</t>
  </si>
  <si>
    <t>Quarterly Loaded Cost $</t>
  </si>
  <si>
    <t>Multi-Step P&amp;L (Mersch format) — Annual</t>
  </si>
  <si>
    <t>Line</t>
  </si>
  <si>
    <t>Year 1</t>
  </si>
  <si>
    <t>Year 2</t>
  </si>
  <si>
    <t>Year 3</t>
  </si>
  <si>
    <t>Year 4</t>
  </si>
  <si>
    <t>Year 5</t>
  </si>
  <si>
    <t>RECURRING SOFTWARE REVENUE</t>
  </si>
  <si>
    <t>Non-recurring (services/setup)</t>
  </si>
  <si>
    <t>TOTAL REVENUE</t>
  </si>
  <si>
    <t>COST OF REVENUE (COGS %)</t>
  </si>
  <si>
    <t>GROSS PROFIT</t>
  </si>
  <si>
    <t>Gross Margin %</t>
  </si>
  <si>
    <t>Sales &amp; Marketing</t>
  </si>
  <si>
    <t>Research &amp; Development</t>
  </si>
  <si>
    <t>General &amp; Administrative</t>
  </si>
  <si>
    <t>TOTAL OPERATING EXPENSE</t>
  </si>
  <si>
    <t>OPERATING INCOME (LOSS)</t>
  </si>
  <si>
    <t>Operating Margin %</t>
  </si>
  <si>
    <t>+ D&amp;A (capex/5)</t>
  </si>
  <si>
    <t>+ Stock-based comp (5% rev)</t>
  </si>
  <si>
    <t>ADJUSTED EBITDA</t>
  </si>
  <si>
    <t>EBITDA Margin %</t>
  </si>
  <si>
    <t>Tax (on positive op income only)</t>
  </si>
  <si>
    <t>NET INCOME</t>
  </si>
  <si>
    <t>Cash Flow — Monthly (60 months)</t>
  </si>
  <si>
    <t>Revenue (cash collected, monthly)</t>
  </si>
  <si>
    <t>COGS (monthly)</t>
  </si>
  <si>
    <t>Gross Profit</t>
  </si>
  <si>
    <t>Total Opex (HC × time + S&amp;M% + G&amp;A)</t>
  </si>
  <si>
    <t>Operating Cash Flow</t>
  </si>
  <si>
    <t>Capex (monthly)</t>
  </si>
  <si>
    <t>Equity raised (in month)</t>
  </si>
  <si>
    <t>Net cash change</t>
  </si>
  <si>
    <t>Beginning cash</t>
  </si>
  <si>
    <t>Ending cash</t>
  </si>
  <si>
    <t>Cumulative FCF (Op + Investing)</t>
  </si>
  <si>
    <t>Runway &amp; Working-Capital Trough</t>
  </si>
  <si>
    <t>Min ending cash (60 mo)</t>
  </si>
  <si>
    <t>Month of trough</t>
  </si>
  <si>
    <t>Months of runway from M1 (negative ⇒ year exhausted)</t>
  </si>
  <si>
    <t>End of period cash (Y5)</t>
  </si>
  <si>
    <t>Sensitivity — New-Logo Growth × Churn</t>
  </si>
  <si>
    <t>Reading: each cell = Year-3 Ending ARR ($) under hypothetical inputs (illustrative — assumes linear scaling).</t>
  </si>
  <si>
    <t>Churn Δ ↓  /  Growth Δ →</t>
  </si>
  <si>
    <t>Scenarios — Base / Bull / Bear / Stress</t>
  </si>
  <si>
    <t>Toggle the active scenario on Inputs cell B5. Multipliers apply to logos, churn, ARPA.</t>
  </si>
  <si>
    <t>Variable</t>
  </si>
  <si>
    <t>Bull</t>
  </si>
  <si>
    <t>Bear</t>
  </si>
  <si>
    <t>Stress</t>
  </si>
  <si>
    <t>Logo growth multiplier</t>
  </si>
  <si>
    <t>Churn multiplier</t>
  </si>
  <si>
    <t>ARPA multiplier</t>
  </si>
  <si>
    <t>FX depreciation %</t>
  </si>
  <si>
    <t>Y3 ending ARR (driven by Inputs!Scen_Active)</t>
  </si>
  <si>
    <t>Y5 ending ARR</t>
  </si>
  <si>
    <t>Bankability Dashboard — SaaS KPIs</t>
  </si>
  <si>
    <t>Y1 Revenue</t>
  </si>
  <si>
    <t>Y3 Revenue</t>
  </si>
  <si>
    <t>Y5 Revenue</t>
  </si>
  <si>
    <t>Y3 EBITDA Margin</t>
  </si>
  <si>
    <t>Y3 Ending ARR</t>
  </si>
  <si>
    <t>Y5 Ending ARR</t>
  </si>
  <si>
    <t>Min cash (60mo)</t>
  </si>
  <si>
    <t>Trough month</t>
  </si>
  <si>
    <t>Gross Margin</t>
  </si>
  <si>
    <t>NRR (annual)</t>
  </si>
  <si>
    <t>GRR (annual)</t>
  </si>
  <si>
    <t>LTV:CAC</t>
  </si>
  <si>
    <t>CAC Payback (months)</t>
  </si>
  <si>
    <t>Rule of 40 (Y3)</t>
  </si>
  <si>
    <t>Magic Number (Y2)</t>
  </si>
  <si>
    <t>Burn Multiple (Y2)</t>
  </si>
  <si>
    <t>Quick Ratio (illustrative)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</si>
  <si>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</si>
  <si>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</si>
  <si>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</si>
  <si>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</si>
  <si>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</si>
  <si>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</si>
  <si>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</si>
  <si>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</si>
  <si>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</si>
  <si>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</si>
  <si>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</si>
  <si>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</si>
  <si>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</si>
  <si>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</si>
  <si>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</si>
  <si>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</si>
  <si>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</si>
  <si>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</si>
  <si>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</si>
  <si>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</si>
  <si>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</si>
  <si>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</si>
  <si>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</si>
  <si>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DFI / Local Bank Format</t>
  </si>
  <si>
    <t>DFIs (FMO, Norfund, IFC, Proparco) + local banks (Stanbic, Equity, KCB, Centenary) expect local-currency primary view. Build the model in USD here; toggle the FX row on Inputs and produce a parallel local-currency view for submission.</t>
  </si>
  <si>
    <t>AI Cost Sensitivity Connection</t>
  </si>
  <si>
    <t>AI cost-per-tenant is FX-exposed (LLM APIs are USD-priced). The dedicated workbook `saas-ai-cost-of-tenant-calculator.xlsx` should feed the COGS % cell on Inputs Section 4. Refresh quarterly or when AI pricing changes.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</si>
</sst>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$#,##0.00"/>
    <numFmt numFmtId="166" formatCode="0.0%"/>
    <numFmt numFmtId="167" formatCode="$#,##0"/>
    <numFmt numFmtId="168" formatCode="#,##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5" borderId="3" xfId="0" applyFill="1" applyBorder="1" applyProtection="1">
      <protection locked="0"/>
    </xf>
    <xf numFmtId="164" fontId="0" fillId="6" borderId="3" xfId="0" applyNumberFormat="1" applyFill="1" applyBorder="1"/>
    <xf numFmtId="165" fontId="0" fillId="5" borderId="3" xfId="0" applyNumberFormat="1" applyFill="1" applyBorder="1" applyProtection="1">
      <protection locked="0"/>
    </xf>
    <xf numFmtId="166" fontId="0" fillId="5" borderId="3" xfId="0" applyNumberFormat="1" applyFill="1" applyBorder="1" applyProtection="1">
      <protection locked="0"/>
    </xf>
    <xf numFmtId="167" fontId="2" fillId="7" borderId="2" xfId="0" applyNumberFormat="1" applyFont="1" applyFill="1" applyBorder="1"/>
    <xf numFmtId="168" fontId="0" fillId="5" borderId="3" xfId="0" applyNumberFormat="1" applyFill="1" applyBorder="1" applyProtection="1">
      <protection locked="0"/>
    </xf>
    <xf numFmtId="168" fontId="2" fillId="7" borderId="2" xfId="0" applyNumberFormat="1" applyFont="1" applyFill="1" applyBorder="1"/>
    <xf numFmtId="166" fontId="0" fillId="6" borderId="3" xfId="0" applyNumberFormat="1" applyFill="1" applyBorder="1"/>
    <xf numFmtId="166" fontId="2" fillId="7" borderId="2" xfId="0" applyNumberFormat="1" applyFont="1" applyFill="1" applyBorder="1"/>
    <xf numFmtId="167" fontId="0" fillId="5" borderId="3" xfId="0" applyNumberFormat="1" applyFill="1" applyBorder="1" applyProtection="1">
      <protection locked="0"/>
    </xf>
    <xf numFmtId="0" fontId="6" fillId="4" borderId="2" xfId="0" applyFont="1" applyFill="1" applyBorder="1" applyAlignment="1">
      <alignment horizontal="center" vertical="center" wrapText="1"/>
    </xf>
    <xf numFmtId="164" fontId="0" fillId="5" borderId="3" xfId="0" applyNumberFormat="1" applyFill="1" applyBorder="1" applyProtection="1">
      <protection locked="0"/>
    </xf>
    <xf numFmtId="168" fontId="0" fillId="6" borderId="3" xfId="0" applyNumberFormat="1" applyFill="1" applyBorder="1"/>
    <xf numFmtId="167" fontId="0" fillId="6" borderId="3" xfId="0" applyNumberFormat="1" applyFill="1" applyBorder="1"/>
    <xf numFmtId="0" fontId="6" fillId="2" borderId="2" xfId="0" applyFont="1" applyFill="1" applyBorder="1" applyAlignment="1">
      <alignment horizontal="left" vertical="center"/>
    </xf>
    <xf numFmtId="167" fontId="7" fillId="6" borderId="2" xfId="0" applyNumberFormat="1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Ending ARR — 60 Months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Ending ARR ($)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'ARR-Waterfall'!$B$3:$BI$3</c:f>
              <c:strCache>
                <c:ptCount val="6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  <c:pt idx="48">
                  <c:v>M49</c:v>
                </c:pt>
                <c:pt idx="49">
                  <c:v>M50</c:v>
                </c:pt>
                <c:pt idx="50">
                  <c:v>M51</c:v>
                </c:pt>
                <c:pt idx="51">
                  <c:v>M52</c:v>
                </c:pt>
                <c:pt idx="52">
                  <c:v>M53</c:v>
                </c:pt>
                <c:pt idx="53">
                  <c:v>M54</c:v>
                </c:pt>
                <c:pt idx="54">
                  <c:v>M55</c:v>
                </c:pt>
                <c:pt idx="55">
                  <c:v>M56</c:v>
                </c:pt>
                <c:pt idx="56">
                  <c:v>M57</c:v>
                </c:pt>
                <c:pt idx="57">
                  <c:v>M58</c:v>
                </c:pt>
                <c:pt idx="58">
                  <c:v>M59</c:v>
                </c:pt>
                <c:pt idx="59">
                  <c:v>M60</c:v>
                </c:pt>
              </c:strCache>
            </c:strRef>
          </c:cat>
          <c:val>
            <c:numRef>
              <c:f>'ARR-Waterfall'!$B$12:$BI$12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ARR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Ending Cash — Working-Capital Trough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Ending Cash ($)</c:v>
          </c:tx>
          <c:spPr>
            <a:ln w="31750">
              <a:solidFill>
                <a:srgbClr val="C65911"/>
              </a:solidFill>
            </a:ln>
          </c:spPr>
          <c:marker>
            <c:symbol val="none"/>
          </c:marker>
          <c:cat>
            <c:strRef>
              <c:f>Cash!$B$3:$BI$3</c:f>
              <c:strCache>
                <c:ptCount val="6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  <c:pt idx="48">
                  <c:v>M49</c:v>
                </c:pt>
                <c:pt idx="49">
                  <c:v>M50</c:v>
                </c:pt>
                <c:pt idx="50">
                  <c:v>M51</c:v>
                </c:pt>
                <c:pt idx="51">
                  <c:v>M52</c:v>
                </c:pt>
                <c:pt idx="52">
                  <c:v>M53</c:v>
                </c:pt>
                <c:pt idx="53">
                  <c:v>M54</c:v>
                </c:pt>
                <c:pt idx="54">
                  <c:v>M55</c:v>
                </c:pt>
                <c:pt idx="55">
                  <c:v>M56</c:v>
                </c:pt>
                <c:pt idx="56">
                  <c:v>M57</c:v>
                </c:pt>
                <c:pt idx="57">
                  <c:v>M58</c:v>
                </c:pt>
                <c:pt idx="58">
                  <c:v>M59</c:v>
                </c:pt>
                <c:pt idx="59">
                  <c:v>M60</c:v>
                </c:pt>
              </c:strCache>
            </c:strRef>
          </c:cat>
          <c:val>
            <c:numRef>
              <c:f>Cash!$B$13:$BI$13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Cash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Opex (Annual)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1F3864"/>
            </a:solidFill>
          </c:spPr>
          <c:cat>
            <c:strRef>
              <c:f>PnL!$B$3:$F$3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PnL!$B$6:$F$6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Opex</c:v>
          </c:tx>
          <c:spPr>
            <a:solidFill>
              <a:srgbClr val="C65911"/>
            </a:solidFill>
          </c:spPr>
          <c:cat>
            <c:strRef>
              <c:f>PnL!$B$3:$F$3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PnL!$B$13:$F$13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123825</xdr:colOff>
      <xdr:row>14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13</xdr:col>
      <xdr:colOff>123825</xdr:colOff>
      <xdr:row>40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13</xdr:col>
      <xdr:colOff>123825</xdr:colOff>
      <xdr:row>61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3" spans="1:2">
      <c r="A13" s="2" t="s">
        <v>18</v>
      </c>
      <c r="B13" s="3" t="s">
        <v>19</v>
      </c>
    </row>
    <row r="14" spans="1:2">
      <c r="A14" s="2" t="s">
        <v>20</v>
      </c>
      <c r="B14" s="3" t="s">
        <v>21</v>
      </c>
    </row>
    <row r="15" spans="1:2">
      <c r="A15" s="2" t="s">
        <v>22</v>
      </c>
      <c r="B15" s="3" t="s">
        <v>23</v>
      </c>
    </row>
    <row r="17" spans="1:2">
      <c r="A17" s="2" t="s">
        <v>24</v>
      </c>
      <c r="B17" s="3" t="s">
        <v>25</v>
      </c>
    </row>
    <row r="18" spans="1:2">
      <c r="A18" s="2" t="s">
        <v>26</v>
      </c>
      <c r="B18" s="3" t="s">
        <v>27</v>
      </c>
    </row>
    <row r="19" spans="1:2">
      <c r="A19" s="2" t="s">
        <v>28</v>
      </c>
      <c r="B19" s="3" t="s">
        <v>29</v>
      </c>
    </row>
    <row r="20" spans="1:2">
      <c r="A20" s="2" t="s">
        <v>30</v>
      </c>
      <c r="B20" s="3" t="s">
        <v>31</v>
      </c>
    </row>
    <row r="22" spans="1:2">
      <c r="A22" s="2" t="s">
        <v>32</v>
      </c>
      <c r="B22" s="3" t="s">
        <v>33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RowHeight="15"/>
  <cols>
    <col min="1" max="1" width="42.7109375" customWidth="1"/>
    <col min="2" max="6" width="14.7109375" customWidth="1"/>
    <col min="7" max="7" width="56.7109375" customWidth="1"/>
  </cols>
  <sheetData>
    <row r="1" spans="1:7" ht="28" customHeight="1">
      <c r="A1" s="1" t="s">
        <v>34</v>
      </c>
      <c r="B1" s="1"/>
      <c r="C1" s="1"/>
      <c r="D1" s="1"/>
      <c r="E1" s="1"/>
      <c r="F1" s="1"/>
      <c r="G1" s="1"/>
    </row>
    <row r="2" spans="1:7">
      <c r="A2" s="5" t="s">
        <v>35</v>
      </c>
    </row>
    <row r="4" spans="1:7">
      <c r="A4" s="4" t="s">
        <v>36</v>
      </c>
      <c r="B4" s="4"/>
      <c r="C4" s="4"/>
      <c r="D4" s="4"/>
      <c r="E4" s="4"/>
      <c r="F4" s="4"/>
      <c r="G4" s="4"/>
    </row>
    <row r="5" spans="1:7">
      <c r="A5" s="2" t="s">
        <v>37</v>
      </c>
      <c r="B5" s="6" t="s">
        <v>38</v>
      </c>
      <c r="G5" s="3" t="s">
        <v>39</v>
      </c>
    </row>
    <row r="6" spans="1:7">
      <c r="A6" s="2" t="s">
        <v>40</v>
      </c>
      <c r="B6" s="7">
        <f>IF(B5="Bull",1.25,IF(B5="Bear",0.75,1))</f>
        <v>0</v>
      </c>
    </row>
    <row r="7" spans="1:7">
      <c r="A7" s="2" t="s">
        <v>41</v>
      </c>
      <c r="B7" s="7">
        <f>IF(B5="Bull",0.75,IF(B5="Bear",1.5,1))</f>
        <v>0</v>
      </c>
    </row>
    <row r="8" spans="1:7">
      <c r="A8" s="2" t="s">
        <v>42</v>
      </c>
      <c r="B8" s="7">
        <f>IF(B5="Bull",1.20,IF(B5="Bear",0.85,1))</f>
        <v>0</v>
      </c>
    </row>
    <row r="10" spans="1:7">
      <c r="A10" s="4" t="s">
        <v>43</v>
      </c>
      <c r="B10" s="4"/>
      <c r="C10" s="4"/>
      <c r="D10" s="4"/>
      <c r="E10" s="4"/>
      <c r="F10" s="4"/>
      <c r="G10" s="4"/>
    </row>
    <row r="11" spans="1:7">
      <c r="A11" s="2" t="s">
        <v>44</v>
      </c>
      <c r="B11" s="8">
        <v>0</v>
      </c>
    </row>
    <row r="12" spans="1:7">
      <c r="A12" s="2" t="s">
        <v>45</v>
      </c>
      <c r="B12" s="8">
        <v>79</v>
      </c>
    </row>
    <row r="13" spans="1:7">
      <c r="A13" s="2" t="s">
        <v>46</v>
      </c>
      <c r="B13" s="8">
        <v>499</v>
      </c>
    </row>
    <row r="14" spans="1:7">
      <c r="A14" s="2" t="s">
        <v>47</v>
      </c>
      <c r="B14" s="9">
        <v>0.2</v>
      </c>
    </row>
    <row r="15" spans="1:7">
      <c r="A15" s="2" t="s">
        <v>48</v>
      </c>
      <c r="B15" s="9">
        <v>0.6</v>
      </c>
    </row>
    <row r="16" spans="1:7">
      <c r="A16" s="2" t="s">
        <v>49</v>
      </c>
      <c r="B16" s="9">
        <v>0.2</v>
      </c>
    </row>
    <row r="17" spans="1:7">
      <c r="A17" s="2" t="s">
        <v>50</v>
      </c>
      <c r="B17" s="9">
        <v>0.05</v>
      </c>
    </row>
    <row r="18" spans="1:7">
      <c r="A18" s="2" t="s">
        <v>51</v>
      </c>
      <c r="B18" s="10">
        <f>(B11*B14+B12*B15+B13*B16)*B8</f>
        <v>0</v>
      </c>
    </row>
    <row r="20" spans="1:7">
      <c r="A20" s="4" t="s">
        <v>52</v>
      </c>
      <c r="B20" s="4"/>
      <c r="C20" s="4"/>
      <c r="D20" s="4"/>
      <c r="E20" s="4"/>
      <c r="F20" s="4"/>
      <c r="G20" s="4"/>
    </row>
    <row r="21" spans="1:7">
      <c r="A21" s="2" t="s">
        <v>53</v>
      </c>
      <c r="B21" s="11">
        <v>3</v>
      </c>
    </row>
    <row r="22" spans="1:7">
      <c r="A22" s="2" t="s">
        <v>54</v>
      </c>
      <c r="B22" s="11">
        <v>5</v>
      </c>
    </row>
    <row r="23" spans="1:7">
      <c r="A23" s="2" t="s">
        <v>55</v>
      </c>
      <c r="B23" s="11">
        <v>2</v>
      </c>
    </row>
    <row r="24" spans="1:7">
      <c r="A24" s="2" t="s">
        <v>56</v>
      </c>
      <c r="B24" s="11">
        <v>1</v>
      </c>
    </row>
    <row r="25" spans="1:7">
      <c r="A25" s="2" t="s">
        <v>57</v>
      </c>
      <c r="B25" s="9">
        <v>0.1</v>
      </c>
    </row>
    <row r="26" spans="1:7">
      <c r="A26" s="2" t="s">
        <v>58</v>
      </c>
      <c r="B26" s="9">
        <v>0.07000000000000001</v>
      </c>
    </row>
    <row r="27" spans="1:7">
      <c r="A27" s="2" t="s">
        <v>59</v>
      </c>
      <c r="B27" s="9">
        <v>0.05</v>
      </c>
    </row>
    <row r="28" spans="1:7">
      <c r="A28" s="2" t="s">
        <v>60</v>
      </c>
      <c r="B28" s="9">
        <v>0.04</v>
      </c>
    </row>
    <row r="29" spans="1:7">
      <c r="A29" s="2" t="s">
        <v>61</v>
      </c>
      <c r="B29" s="9">
        <v>0.03</v>
      </c>
    </row>
    <row r="30" spans="1:7">
      <c r="A30" s="2" t="s">
        <v>62</v>
      </c>
      <c r="B30" s="12">
        <f>B21+B22+B23+B24</f>
        <v>0</v>
      </c>
    </row>
    <row r="32" spans="1:7">
      <c r="A32" s="4" t="s">
        <v>63</v>
      </c>
      <c r="B32" s="4"/>
      <c r="C32" s="4"/>
      <c r="D32" s="4"/>
      <c r="E32" s="4"/>
      <c r="F32" s="4"/>
      <c r="G32" s="4"/>
    </row>
    <row r="33" spans="1:7">
      <c r="A33" s="2" t="s">
        <v>64</v>
      </c>
      <c r="B33" s="9">
        <v>0.025</v>
      </c>
    </row>
    <row r="34" spans="1:7">
      <c r="A34" s="2" t="s">
        <v>65</v>
      </c>
      <c r="B34" s="9">
        <v>0.02</v>
      </c>
    </row>
    <row r="35" spans="1:7">
      <c r="A35" s="2" t="s">
        <v>66</v>
      </c>
      <c r="B35" s="9">
        <v>0.012</v>
      </c>
    </row>
    <row r="36" spans="1:7">
      <c r="A36" s="2" t="s">
        <v>67</v>
      </c>
      <c r="B36" s="9">
        <v>0.004</v>
      </c>
    </row>
    <row r="37" spans="1:7">
      <c r="A37" s="2" t="s">
        <v>68</v>
      </c>
      <c r="B37" s="13">
        <f>B33*B7</f>
        <v>0</v>
      </c>
    </row>
    <row r="38" spans="1:7">
      <c r="A38" s="2" t="s">
        <v>69</v>
      </c>
      <c r="B38" s="13">
        <f>B34*B7</f>
        <v>0</v>
      </c>
    </row>
    <row r="40" spans="1:7">
      <c r="A40" s="4" t="s">
        <v>70</v>
      </c>
      <c r="B40" s="4"/>
      <c r="C40" s="4"/>
      <c r="D40" s="4"/>
      <c r="E40" s="4"/>
      <c r="F40" s="4"/>
      <c r="G40" s="4"/>
    </row>
    <row r="41" spans="1:7">
      <c r="A41" s="2" t="s">
        <v>71</v>
      </c>
      <c r="B41" s="9">
        <v>0.08</v>
      </c>
    </row>
    <row r="42" spans="1:7">
      <c r="A42" s="2" t="s">
        <v>72</v>
      </c>
      <c r="B42" s="9">
        <v>0.06</v>
      </c>
    </row>
    <row r="43" spans="1:7">
      <c r="A43" s="2" t="s">
        <v>73</v>
      </c>
      <c r="B43" s="9">
        <v>0.025</v>
      </c>
    </row>
    <row r="44" spans="1:7">
      <c r="A44" s="2" t="s">
        <v>74</v>
      </c>
      <c r="B44" s="9">
        <v>0.04</v>
      </c>
    </row>
    <row r="45" spans="1:7">
      <c r="A45" s="2" t="s">
        <v>75</v>
      </c>
      <c r="B45" s="9">
        <v>0.05</v>
      </c>
    </row>
    <row r="46" spans="1:7">
      <c r="A46" s="2" t="s">
        <v>76</v>
      </c>
      <c r="B46" s="13">
        <f>SUM(B41:B45)</f>
        <v>0</v>
      </c>
    </row>
    <row r="47" spans="1:7">
      <c r="A47" s="2" t="s">
        <v>77</v>
      </c>
      <c r="B47" s="14">
        <f>1-B46</f>
        <v>0</v>
      </c>
    </row>
    <row r="49" spans="1:7">
      <c r="A49" s="4" t="s">
        <v>78</v>
      </c>
      <c r="B49" s="4"/>
      <c r="C49" s="4"/>
      <c r="D49" s="4"/>
      <c r="E49" s="4"/>
      <c r="F49" s="4"/>
      <c r="G49" s="4"/>
    </row>
    <row r="50" spans="1:7">
      <c r="A50" s="2" t="s">
        <v>79</v>
      </c>
      <c r="B50" s="9">
        <v>0.6</v>
      </c>
    </row>
    <row r="51" spans="1:7">
      <c r="A51" s="2" t="s">
        <v>80</v>
      </c>
      <c r="B51" s="9">
        <v>0.5</v>
      </c>
    </row>
    <row r="52" spans="1:7">
      <c r="A52" s="2" t="s">
        <v>81</v>
      </c>
      <c r="B52" s="9">
        <v>0.4</v>
      </c>
    </row>
    <row r="53" spans="1:7">
      <c r="A53" s="2" t="s">
        <v>82</v>
      </c>
      <c r="B53" s="9">
        <v>0.4</v>
      </c>
    </row>
    <row r="54" spans="1:7">
      <c r="A54" s="2" t="s">
        <v>83</v>
      </c>
      <c r="B54" s="9">
        <v>0.3</v>
      </c>
    </row>
    <row r="55" spans="1:7">
      <c r="A55" s="2" t="s">
        <v>84</v>
      </c>
      <c r="B55" s="9">
        <v>0.25</v>
      </c>
    </row>
    <row r="56" spans="1:7">
      <c r="A56" s="2" t="s">
        <v>85</v>
      </c>
      <c r="B56" s="15">
        <v>8000</v>
      </c>
    </row>
    <row r="57" spans="1:7">
      <c r="A57" s="2" t="s">
        <v>86</v>
      </c>
      <c r="B57" s="15">
        <v>12000</v>
      </c>
    </row>
    <row r="58" spans="1:7">
      <c r="A58" s="2" t="s">
        <v>87</v>
      </c>
      <c r="B58" s="15">
        <v>18000</v>
      </c>
    </row>
    <row r="59" spans="1:7">
      <c r="A59" s="2" t="s">
        <v>88</v>
      </c>
      <c r="B59" s="9">
        <v>0.06</v>
      </c>
    </row>
    <row r="61" spans="1:7">
      <c r="A61" s="4" t="s">
        <v>89</v>
      </c>
      <c r="B61" s="4"/>
      <c r="C61" s="4"/>
      <c r="D61" s="4"/>
      <c r="E61" s="4"/>
      <c r="F61" s="4"/>
      <c r="G61" s="4"/>
    </row>
    <row r="62" spans="1:7">
      <c r="A62" s="16" t="s">
        <v>90</v>
      </c>
      <c r="B62" s="16" t="s">
        <v>91</v>
      </c>
      <c r="C62" s="16" t="s">
        <v>92</v>
      </c>
      <c r="D62" s="16" t="s">
        <v>93</v>
      </c>
      <c r="E62" s="16" t="s">
        <v>94</v>
      </c>
      <c r="F62" s="16" t="s">
        <v>95</v>
      </c>
      <c r="G62" s="16" t="s">
        <v>96</v>
      </c>
    </row>
    <row r="63" spans="1:7">
      <c r="A63" s="2" t="s">
        <v>97</v>
      </c>
      <c r="B63" s="15">
        <v>95000</v>
      </c>
      <c r="C63" s="6" t="s">
        <v>98</v>
      </c>
      <c r="D63" s="11">
        <v>1</v>
      </c>
      <c r="E63" s="11">
        <v>2</v>
      </c>
      <c r="F63" s="11">
        <v>3</v>
      </c>
      <c r="G63" s="11">
        <v>4</v>
      </c>
    </row>
    <row r="64" spans="1:7">
      <c r="A64" s="2" t="s">
        <v>99</v>
      </c>
      <c r="B64" s="15">
        <v>55000</v>
      </c>
      <c r="C64" s="6" t="s">
        <v>98</v>
      </c>
      <c r="D64" s="11">
        <v>2</v>
      </c>
      <c r="E64" s="11">
        <v>4</v>
      </c>
      <c r="F64" s="11">
        <v>7</v>
      </c>
      <c r="G64" s="11">
        <v>10</v>
      </c>
    </row>
    <row r="65" spans="1:7">
      <c r="A65" s="2" t="s">
        <v>100</v>
      </c>
      <c r="B65" s="15">
        <v>65000</v>
      </c>
      <c r="C65" s="6" t="s">
        <v>98</v>
      </c>
      <c r="D65" s="11">
        <v>1</v>
      </c>
      <c r="E65" s="11">
        <v>1</v>
      </c>
      <c r="F65" s="11">
        <v>2</v>
      </c>
      <c r="G65" s="11">
        <v>3</v>
      </c>
    </row>
    <row r="66" spans="1:7">
      <c r="A66" s="2" t="s">
        <v>101</v>
      </c>
      <c r="B66" s="15">
        <v>45000</v>
      </c>
      <c r="C66" s="6" t="s">
        <v>98</v>
      </c>
      <c r="D66" s="11">
        <v>1</v>
      </c>
      <c r="E66" s="11">
        <v>1</v>
      </c>
      <c r="F66" s="11">
        <v>2</v>
      </c>
      <c r="G66" s="11">
        <v>2</v>
      </c>
    </row>
    <row r="67" spans="1:7">
      <c r="A67" s="2" t="s">
        <v>102</v>
      </c>
      <c r="B67" s="15">
        <v>55000</v>
      </c>
      <c r="C67" s="6" t="s">
        <v>103</v>
      </c>
      <c r="D67" s="11">
        <v>1</v>
      </c>
      <c r="E67" s="11">
        <v>3</v>
      </c>
      <c r="F67" s="11">
        <v>6</v>
      </c>
      <c r="G67" s="11">
        <v>10</v>
      </c>
    </row>
    <row r="68" spans="1:7">
      <c r="A68" s="2" t="s">
        <v>104</v>
      </c>
      <c r="B68" s="15">
        <v>28000</v>
      </c>
      <c r="C68" s="6" t="s">
        <v>103</v>
      </c>
      <c r="D68" s="11">
        <v>1</v>
      </c>
      <c r="E68" s="11">
        <v>2</v>
      </c>
      <c r="F68" s="11">
        <v>5</v>
      </c>
      <c r="G68" s="11">
        <v>8</v>
      </c>
    </row>
    <row r="69" spans="1:7">
      <c r="A69" s="2" t="s">
        <v>105</v>
      </c>
      <c r="B69" s="15">
        <v>50000</v>
      </c>
      <c r="C69" s="6" t="s">
        <v>103</v>
      </c>
      <c r="D69" s="11">
        <v>1</v>
      </c>
      <c r="E69" s="11">
        <v>1</v>
      </c>
      <c r="F69" s="11">
        <v>2</v>
      </c>
      <c r="G69" s="11">
        <v>3</v>
      </c>
    </row>
    <row r="70" spans="1:7">
      <c r="A70" s="2" t="s">
        <v>106</v>
      </c>
      <c r="B70" s="15">
        <v>45000</v>
      </c>
      <c r="C70" s="6" t="s">
        <v>103</v>
      </c>
      <c r="D70" s="11">
        <v>1</v>
      </c>
      <c r="E70" s="11">
        <v>2</v>
      </c>
      <c r="F70" s="11">
        <v>4</v>
      </c>
      <c r="G70" s="11">
        <v>6</v>
      </c>
    </row>
    <row r="71" spans="1:7">
      <c r="A71" s="2" t="s">
        <v>107</v>
      </c>
      <c r="B71" s="15">
        <v>50000</v>
      </c>
      <c r="C71" s="6" t="s">
        <v>108</v>
      </c>
      <c r="D71" s="11">
        <v>1</v>
      </c>
      <c r="E71" s="11">
        <v>1</v>
      </c>
      <c r="F71" s="11">
        <v>2</v>
      </c>
      <c r="G71" s="11">
        <v>3</v>
      </c>
    </row>
    <row r="72" spans="1:7">
      <c r="A72" s="2" t="s">
        <v>109</v>
      </c>
      <c r="B72" s="15">
        <v>80000</v>
      </c>
      <c r="C72" s="6" t="s">
        <v>108</v>
      </c>
      <c r="D72" s="11">
        <v>1</v>
      </c>
      <c r="E72" s="11">
        <v>1</v>
      </c>
      <c r="F72" s="11">
        <v>1</v>
      </c>
      <c r="G72" s="11">
        <v>1</v>
      </c>
    </row>
    <row r="74" spans="1:7">
      <c r="A74" s="2" t="s">
        <v>110</v>
      </c>
      <c r="D74" s="12">
        <f>SUM(D63:D72)</f>
        <v>0</v>
      </c>
      <c r="E74" s="12">
        <f>SUM(E63:E72)</f>
        <v>0</v>
      </c>
      <c r="F74" s="12">
        <f>SUM(F63:F72)</f>
        <v>0</v>
      </c>
      <c r="G74" s="12">
        <f>SUM(G63:G72)</f>
        <v>0</v>
      </c>
    </row>
    <row r="75" spans="1:7">
      <c r="A75" s="2" t="s">
        <v>111</v>
      </c>
      <c r="D75" s="10">
        <f>SUMPRODUCT(B63:B72,D63:D72)</f>
        <v>0</v>
      </c>
      <c r="E75" s="10">
        <f>SUMPRODUCT(B63:B72,E63:E72)</f>
        <v>0</v>
      </c>
      <c r="F75" s="10">
        <f>SUMPRODUCT(B63:B72,F63:F72)</f>
        <v>0</v>
      </c>
      <c r="G75" s="10">
        <f>SUMPRODUCT(B63:B72,G63:G72)</f>
        <v>0</v>
      </c>
    </row>
    <row r="77" spans="1:7">
      <c r="A77" s="4" t="s">
        <v>112</v>
      </c>
      <c r="B77" s="4"/>
      <c r="C77" s="4"/>
      <c r="D77" s="4"/>
      <c r="E77" s="4"/>
      <c r="F77" s="4"/>
      <c r="G77" s="4"/>
    </row>
    <row r="78" spans="1:7">
      <c r="A78" s="2" t="s">
        <v>113</v>
      </c>
      <c r="B78" s="11">
        <v>60</v>
      </c>
    </row>
    <row r="79" spans="1:7">
      <c r="A79" s="2" t="s">
        <v>114</v>
      </c>
      <c r="B79" s="11">
        <v>30</v>
      </c>
    </row>
    <row r="80" spans="1:7">
      <c r="A80" s="2" t="s">
        <v>115</v>
      </c>
      <c r="B80" s="9">
        <v>0.3</v>
      </c>
    </row>
    <row r="81" spans="1:7">
      <c r="A81" s="2" t="s">
        <v>116</v>
      </c>
      <c r="B81" s="9">
        <v>0.12</v>
      </c>
    </row>
    <row r="82" spans="1:7">
      <c r="A82" s="2" t="s">
        <v>117</v>
      </c>
      <c r="B82" s="15">
        <v>25000</v>
      </c>
    </row>
    <row r="83" spans="1:7">
      <c r="A83" s="2" t="s">
        <v>118</v>
      </c>
      <c r="B83" s="15">
        <v>20000</v>
      </c>
    </row>
    <row r="84" spans="1:7">
      <c r="A84" s="2" t="s">
        <v>119</v>
      </c>
      <c r="B84" s="15">
        <v>25000</v>
      </c>
    </row>
    <row r="85" spans="1:7">
      <c r="A85" s="2" t="s">
        <v>120</v>
      </c>
      <c r="B85" s="15">
        <v>30000</v>
      </c>
    </row>
    <row r="86" spans="1:7">
      <c r="A86" s="2" t="s">
        <v>121</v>
      </c>
      <c r="B86" s="15">
        <v>35000</v>
      </c>
    </row>
    <row r="87" spans="1:7">
      <c r="A87" s="2" t="s">
        <v>122</v>
      </c>
      <c r="B87" s="15">
        <v>750000</v>
      </c>
    </row>
    <row r="88" spans="1:7">
      <c r="A88" s="2" t="s">
        <v>123</v>
      </c>
      <c r="B88" s="15">
        <v>1500000</v>
      </c>
    </row>
    <row r="89" spans="1:7">
      <c r="A89" s="2" t="s">
        <v>124</v>
      </c>
      <c r="B89" s="15">
        <v>0</v>
      </c>
    </row>
    <row r="90" spans="1:7">
      <c r="A90" s="2" t="s">
        <v>125</v>
      </c>
      <c r="B90" s="15">
        <v>4000000</v>
      </c>
    </row>
    <row r="91" spans="1:7">
      <c r="A91" s="2" t="s">
        <v>126</v>
      </c>
      <c r="B91" s="15">
        <v>0</v>
      </c>
    </row>
    <row r="92" spans="1:7">
      <c r="A92" s="2" t="s">
        <v>127</v>
      </c>
      <c r="B92" s="9">
        <v>0.12</v>
      </c>
    </row>
    <row r="93" spans="1:7">
      <c r="A93" s="2" t="s">
        <v>128</v>
      </c>
      <c r="B93" s="9">
        <v>0.3</v>
      </c>
    </row>
    <row r="95" spans="1:7">
      <c r="A95" s="4" t="s">
        <v>129</v>
      </c>
      <c r="B95" s="4"/>
      <c r="C95" s="4"/>
      <c r="D95" s="4"/>
      <c r="E95" s="4"/>
      <c r="F95" s="4"/>
      <c r="G95" s="4"/>
    </row>
    <row r="96" spans="1:7">
      <c r="A96" s="2" t="s">
        <v>130</v>
      </c>
      <c r="B96" s="15">
        <v>850</v>
      </c>
    </row>
    <row r="97" spans="1:7">
      <c r="A97" s="4" t="s">
        <v>131</v>
      </c>
      <c r="B97" s="4"/>
      <c r="C97" s="4"/>
      <c r="D97" s="4"/>
      <c r="E97" s="4"/>
      <c r="F97" s="4"/>
      <c r="G97" s="4"/>
    </row>
    <row r="98" spans="1:7">
      <c r="A98" s="2" t="s">
        <v>132</v>
      </c>
      <c r="B98" s="6" t="s">
        <v>133</v>
      </c>
    </row>
    <row r="99" spans="1:7">
      <c r="A99" s="2" t="s">
        <v>134</v>
      </c>
      <c r="B99" s="17">
        <v>3800</v>
      </c>
    </row>
    <row r="100" spans="1:7">
      <c r="A100" s="2" t="s">
        <v>135</v>
      </c>
      <c r="B100" s="9">
        <v>0.05</v>
      </c>
    </row>
  </sheetData>
  <mergeCells count="11">
    <mergeCell ref="A1:G1"/>
    <mergeCell ref="A4:G4"/>
    <mergeCell ref="A10:G10"/>
    <mergeCell ref="A20:G20"/>
    <mergeCell ref="A32:G32"/>
    <mergeCell ref="A40:G40"/>
    <mergeCell ref="A49:G49"/>
    <mergeCell ref="A61:G61"/>
    <mergeCell ref="A77:G77"/>
    <mergeCell ref="A95:G95"/>
    <mergeCell ref="A97:G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9"/>
  <sheetViews>
    <sheetView workbookViewId="0"/>
  </sheetViews>
  <sheetFormatPr defaultRowHeight="15"/>
  <cols>
    <col min="1" max="1" width="26.7109375" customWidth="1"/>
    <col min="2" max="60" width="11.7109375" customWidth="1"/>
  </cols>
  <sheetData>
    <row r="1" spans="1:61" ht="28" customHeight="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spans="1:61">
      <c r="A3" s="16" t="s">
        <v>137</v>
      </c>
      <c r="B3" s="16" t="s">
        <v>138</v>
      </c>
      <c r="C3" s="16" t="s">
        <v>139</v>
      </c>
      <c r="D3" s="16" t="s">
        <v>140</v>
      </c>
      <c r="E3" s="16" t="s">
        <v>141</v>
      </c>
      <c r="F3" s="16" t="s">
        <v>142</v>
      </c>
      <c r="G3" s="16" t="s">
        <v>143</v>
      </c>
      <c r="H3" s="16" t="s">
        <v>144</v>
      </c>
      <c r="I3" s="16" t="s">
        <v>145</v>
      </c>
      <c r="J3" s="16" t="s">
        <v>146</v>
      </c>
      <c r="K3" s="16" t="s">
        <v>147</v>
      </c>
      <c r="L3" s="16" t="s">
        <v>148</v>
      </c>
      <c r="M3" s="16" t="s">
        <v>149</v>
      </c>
      <c r="N3" s="16" t="s">
        <v>150</v>
      </c>
      <c r="O3" s="16" t="s">
        <v>151</v>
      </c>
      <c r="P3" s="16" t="s">
        <v>152</v>
      </c>
      <c r="Q3" s="16" t="s">
        <v>153</v>
      </c>
      <c r="R3" s="16" t="s">
        <v>154</v>
      </c>
      <c r="S3" s="16" t="s">
        <v>155</v>
      </c>
      <c r="T3" s="16" t="s">
        <v>156</v>
      </c>
      <c r="U3" s="16" t="s">
        <v>157</v>
      </c>
      <c r="V3" s="16" t="s">
        <v>158</v>
      </c>
      <c r="W3" s="16" t="s">
        <v>159</v>
      </c>
      <c r="X3" s="16" t="s">
        <v>160</v>
      </c>
      <c r="Y3" s="16" t="s">
        <v>161</v>
      </c>
      <c r="Z3" s="16" t="s">
        <v>162</v>
      </c>
      <c r="AA3" s="16" t="s">
        <v>163</v>
      </c>
      <c r="AB3" s="16" t="s">
        <v>164</v>
      </c>
      <c r="AC3" s="16" t="s">
        <v>165</v>
      </c>
      <c r="AD3" s="16" t="s">
        <v>166</v>
      </c>
      <c r="AE3" s="16" t="s">
        <v>167</v>
      </c>
      <c r="AF3" s="16" t="s">
        <v>168</v>
      </c>
      <c r="AG3" s="16" t="s">
        <v>169</v>
      </c>
      <c r="AH3" s="16" t="s">
        <v>170</v>
      </c>
      <c r="AI3" s="16" t="s">
        <v>171</v>
      </c>
      <c r="AJ3" s="16" t="s">
        <v>172</v>
      </c>
      <c r="AK3" s="16" t="s">
        <v>173</v>
      </c>
      <c r="AL3" s="16" t="s">
        <v>174</v>
      </c>
      <c r="AM3" s="16" t="s">
        <v>175</v>
      </c>
      <c r="AN3" s="16" t="s">
        <v>176</v>
      </c>
      <c r="AO3" s="16" t="s">
        <v>177</v>
      </c>
      <c r="AP3" s="16" t="s">
        <v>178</v>
      </c>
      <c r="AQ3" s="16" t="s">
        <v>179</v>
      </c>
      <c r="AR3" s="16" t="s">
        <v>180</v>
      </c>
      <c r="AS3" s="16" t="s">
        <v>181</v>
      </c>
      <c r="AT3" s="16" t="s">
        <v>182</v>
      </c>
      <c r="AU3" s="16" t="s">
        <v>183</v>
      </c>
      <c r="AV3" s="16" t="s">
        <v>184</v>
      </c>
      <c r="AW3" s="16" t="s">
        <v>185</v>
      </c>
      <c r="AX3" s="16" t="s">
        <v>186</v>
      </c>
      <c r="AY3" s="16" t="s">
        <v>187</v>
      </c>
      <c r="AZ3" s="16" t="s">
        <v>188</v>
      </c>
      <c r="BA3" s="16" t="s">
        <v>189</v>
      </c>
      <c r="BB3" s="16" t="s">
        <v>190</v>
      </c>
      <c r="BC3" s="16" t="s">
        <v>191</v>
      </c>
      <c r="BD3" s="16" t="s">
        <v>192</v>
      </c>
      <c r="BE3" s="16" t="s">
        <v>193</v>
      </c>
      <c r="BF3" s="16" t="s">
        <v>194</v>
      </c>
      <c r="BG3" s="16" t="s">
        <v>195</v>
      </c>
      <c r="BH3" s="16" t="s">
        <v>196</v>
      </c>
      <c r="BI3" s="16" t="s">
        <v>197</v>
      </c>
    </row>
    <row r="4" spans="1:61">
      <c r="A4" s="2" t="s">
        <v>198</v>
      </c>
      <c r="B4" s="18">
        <v>1</v>
      </c>
      <c r="C4" s="18">
        <v>1</v>
      </c>
      <c r="D4" s="18">
        <v>1</v>
      </c>
      <c r="E4" s="18">
        <v>1</v>
      </c>
      <c r="F4" s="18">
        <v>1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>
        <v>1</v>
      </c>
      <c r="N4" s="18">
        <v>2</v>
      </c>
      <c r="O4" s="18">
        <v>2</v>
      </c>
      <c r="P4" s="18">
        <v>2</v>
      </c>
      <c r="Q4" s="18">
        <v>2</v>
      </c>
      <c r="R4" s="18">
        <v>2</v>
      </c>
      <c r="S4" s="18">
        <v>2</v>
      </c>
      <c r="T4" s="18">
        <v>2</v>
      </c>
      <c r="U4" s="18">
        <v>2</v>
      </c>
      <c r="V4" s="18">
        <v>2</v>
      </c>
      <c r="W4" s="18">
        <v>2</v>
      </c>
      <c r="X4" s="18">
        <v>2</v>
      </c>
      <c r="Y4" s="18">
        <v>2</v>
      </c>
      <c r="Z4" s="18">
        <v>3</v>
      </c>
      <c r="AA4" s="18">
        <v>3</v>
      </c>
      <c r="AB4" s="18">
        <v>3</v>
      </c>
      <c r="AC4" s="18">
        <v>3</v>
      </c>
      <c r="AD4" s="18">
        <v>3</v>
      </c>
      <c r="AE4" s="18">
        <v>3</v>
      </c>
      <c r="AF4" s="18">
        <v>3</v>
      </c>
      <c r="AG4" s="18">
        <v>3</v>
      </c>
      <c r="AH4" s="18">
        <v>3</v>
      </c>
      <c r="AI4" s="18">
        <v>3</v>
      </c>
      <c r="AJ4" s="18">
        <v>3</v>
      </c>
      <c r="AK4" s="18">
        <v>3</v>
      </c>
      <c r="AL4" s="18">
        <v>4</v>
      </c>
      <c r="AM4" s="18">
        <v>4</v>
      </c>
      <c r="AN4" s="18">
        <v>4</v>
      </c>
      <c r="AO4" s="18">
        <v>4</v>
      </c>
      <c r="AP4" s="18">
        <v>4</v>
      </c>
      <c r="AQ4" s="18">
        <v>4</v>
      </c>
      <c r="AR4" s="18">
        <v>4</v>
      </c>
      <c r="AS4" s="18">
        <v>4</v>
      </c>
      <c r="AT4" s="18">
        <v>4</v>
      </c>
      <c r="AU4" s="18">
        <v>4</v>
      </c>
      <c r="AV4" s="18">
        <v>4</v>
      </c>
      <c r="AW4" s="18">
        <v>4</v>
      </c>
      <c r="AX4" s="18">
        <v>5</v>
      </c>
      <c r="AY4" s="18">
        <v>5</v>
      </c>
      <c r="AZ4" s="18">
        <v>5</v>
      </c>
      <c r="BA4" s="18">
        <v>5</v>
      </c>
      <c r="BB4" s="18">
        <v>5</v>
      </c>
      <c r="BC4" s="18">
        <v>5</v>
      </c>
      <c r="BD4" s="18">
        <v>5</v>
      </c>
      <c r="BE4" s="18">
        <v>5</v>
      </c>
      <c r="BF4" s="18">
        <v>5</v>
      </c>
      <c r="BG4" s="18">
        <v>5</v>
      </c>
      <c r="BH4" s="18">
        <v>5</v>
      </c>
      <c r="BI4" s="18">
        <v>5</v>
      </c>
    </row>
    <row r="5" spans="1:61">
      <c r="A5" s="2" t="s">
        <v>199</v>
      </c>
      <c r="B5" s="18">
        <f>M1_Logos*Logo_Mult</f>
        <v>0</v>
      </c>
      <c r="C5" s="18">
        <f>ROUND(B5*(1+IF(C4=1, G_Y1, IF(C4=2, G_Y2, IF(C4=3, G_Y3, IF(C4=4, G_Y4, G_Y5))))),0)</f>
        <v>0</v>
      </c>
      <c r="D5" s="18">
        <f>ROUND(C5*(1+IF(D4=1, G_Y1, IF(D4=2, G_Y2, IF(D4=3, G_Y3, IF(D4=4, G_Y4, G_Y5))))),0)</f>
        <v>0</v>
      </c>
      <c r="E5" s="18">
        <f>ROUND(D5*(1+IF(E4=1, G_Y1, IF(E4=2, G_Y2, IF(E4=3, G_Y3, IF(E4=4, G_Y4, G_Y5))))),0)</f>
        <v>0</v>
      </c>
      <c r="F5" s="18">
        <f>ROUND(E5*(1+IF(F4=1, G_Y1, IF(F4=2, G_Y2, IF(F4=3, G_Y3, IF(F4=4, G_Y4, G_Y5))))),0)</f>
        <v>0</v>
      </c>
      <c r="G5" s="18">
        <f>ROUND(F5*(1+IF(G4=1, G_Y1, IF(G4=2, G_Y2, IF(G4=3, G_Y3, IF(G4=4, G_Y4, G_Y5))))),0)</f>
        <v>0</v>
      </c>
      <c r="H5" s="18">
        <f>ROUND(G5*(1+IF(H4=1, G_Y1, IF(H4=2, G_Y2, IF(H4=3, G_Y3, IF(H4=4, G_Y4, G_Y5))))),0)</f>
        <v>0</v>
      </c>
      <c r="I5" s="18">
        <f>ROUND(H5*(1+IF(I4=1, G_Y1, IF(I4=2, G_Y2, IF(I4=3, G_Y3, IF(I4=4, G_Y4, G_Y5))))),0)</f>
        <v>0</v>
      </c>
      <c r="J5" s="18">
        <f>ROUND(I5*(1+IF(J4=1, G_Y1, IF(J4=2, G_Y2, IF(J4=3, G_Y3, IF(J4=4, G_Y4, G_Y5))))),0)</f>
        <v>0</v>
      </c>
      <c r="K5" s="18">
        <f>ROUND(J5*(1+IF(K4=1, G_Y1, IF(K4=2, G_Y2, IF(K4=3, G_Y3, IF(K4=4, G_Y4, G_Y5))))),0)</f>
        <v>0</v>
      </c>
      <c r="L5" s="18">
        <f>ROUND(K5*(1+IF(L4=1, G_Y1, IF(L4=2, G_Y2, IF(L4=3, G_Y3, IF(L4=4, G_Y4, G_Y5))))),0)</f>
        <v>0</v>
      </c>
      <c r="M5" s="18">
        <f>ROUND(L5*(1+IF(M4=1, G_Y1, IF(M4=2, G_Y2, IF(M4=3, G_Y3, IF(M4=4, G_Y4, G_Y5))))),0)</f>
        <v>0</v>
      </c>
      <c r="N5" s="18">
        <f>ROUND(M5*(1+IF(N4=1, G_Y1, IF(N4=2, G_Y2, IF(N4=3, G_Y3, IF(N4=4, G_Y4, G_Y5))))),0)</f>
        <v>0</v>
      </c>
      <c r="O5" s="18">
        <f>ROUND(N5*(1+IF(O4=1, G_Y1, IF(O4=2, G_Y2, IF(O4=3, G_Y3, IF(O4=4, G_Y4, G_Y5))))),0)</f>
        <v>0</v>
      </c>
      <c r="P5" s="18">
        <f>ROUND(O5*(1+IF(P4=1, G_Y1, IF(P4=2, G_Y2, IF(P4=3, G_Y3, IF(P4=4, G_Y4, G_Y5))))),0)</f>
        <v>0</v>
      </c>
      <c r="Q5" s="18">
        <f>ROUND(P5*(1+IF(Q4=1, G_Y1, IF(Q4=2, G_Y2, IF(Q4=3, G_Y3, IF(Q4=4, G_Y4, G_Y5))))),0)</f>
        <v>0</v>
      </c>
      <c r="R5" s="18">
        <f>ROUND(Q5*(1+IF(R4=1, G_Y1, IF(R4=2, G_Y2, IF(R4=3, G_Y3, IF(R4=4, G_Y4, G_Y5))))),0)</f>
        <v>0</v>
      </c>
      <c r="S5" s="18">
        <f>ROUND(R5*(1+IF(S4=1, G_Y1, IF(S4=2, G_Y2, IF(S4=3, G_Y3, IF(S4=4, G_Y4, G_Y5))))),0)</f>
        <v>0</v>
      </c>
      <c r="T5" s="18">
        <f>ROUND(S5*(1+IF(T4=1, G_Y1, IF(T4=2, G_Y2, IF(T4=3, G_Y3, IF(T4=4, G_Y4, G_Y5))))),0)</f>
        <v>0</v>
      </c>
      <c r="U5" s="18">
        <f>ROUND(T5*(1+IF(U4=1, G_Y1, IF(U4=2, G_Y2, IF(U4=3, G_Y3, IF(U4=4, G_Y4, G_Y5))))),0)</f>
        <v>0</v>
      </c>
      <c r="V5" s="18">
        <f>ROUND(U5*(1+IF(V4=1, G_Y1, IF(V4=2, G_Y2, IF(V4=3, G_Y3, IF(V4=4, G_Y4, G_Y5))))),0)</f>
        <v>0</v>
      </c>
      <c r="W5" s="18">
        <f>ROUND(V5*(1+IF(W4=1, G_Y1, IF(W4=2, G_Y2, IF(W4=3, G_Y3, IF(W4=4, G_Y4, G_Y5))))),0)</f>
        <v>0</v>
      </c>
      <c r="X5" s="18">
        <f>ROUND(W5*(1+IF(X4=1, G_Y1, IF(X4=2, G_Y2, IF(X4=3, G_Y3, IF(X4=4, G_Y4, G_Y5))))),0)</f>
        <v>0</v>
      </c>
      <c r="Y5" s="18">
        <f>ROUND(X5*(1+IF(Y4=1, G_Y1, IF(Y4=2, G_Y2, IF(Y4=3, G_Y3, IF(Y4=4, G_Y4, G_Y5))))),0)</f>
        <v>0</v>
      </c>
      <c r="Z5" s="18">
        <f>ROUND(Y5*(1+IF(Z4=1, G_Y1, IF(Z4=2, G_Y2, IF(Z4=3, G_Y3, IF(Z4=4, G_Y4, G_Y5))))),0)</f>
        <v>0</v>
      </c>
      <c r="AA5" s="18">
        <f>ROUND(Z5*(1+IF(AA4=1, G_Y1, IF(AA4=2, G_Y2, IF(AA4=3, G_Y3, IF(AA4=4, G_Y4, G_Y5))))),0)</f>
        <v>0</v>
      </c>
      <c r="AB5" s="18">
        <f>ROUND(AA5*(1+IF(AB4=1, G_Y1, IF(AB4=2, G_Y2, IF(AB4=3, G_Y3, IF(AB4=4, G_Y4, G_Y5))))),0)</f>
        <v>0</v>
      </c>
      <c r="AC5" s="18">
        <f>ROUND(AB5*(1+IF(AC4=1, G_Y1, IF(AC4=2, G_Y2, IF(AC4=3, G_Y3, IF(AC4=4, G_Y4, G_Y5))))),0)</f>
        <v>0</v>
      </c>
      <c r="AD5" s="18">
        <f>ROUND(AC5*(1+IF(AD4=1, G_Y1, IF(AD4=2, G_Y2, IF(AD4=3, G_Y3, IF(AD4=4, G_Y4, G_Y5))))),0)</f>
        <v>0</v>
      </c>
      <c r="AE5" s="18">
        <f>ROUND(AD5*(1+IF(AE4=1, G_Y1, IF(AE4=2, G_Y2, IF(AE4=3, G_Y3, IF(AE4=4, G_Y4, G_Y5))))),0)</f>
        <v>0</v>
      </c>
      <c r="AF5" s="18">
        <f>ROUND(AE5*(1+IF(AF4=1, G_Y1, IF(AF4=2, G_Y2, IF(AF4=3, G_Y3, IF(AF4=4, G_Y4, G_Y5))))),0)</f>
        <v>0</v>
      </c>
      <c r="AG5" s="18">
        <f>ROUND(AF5*(1+IF(AG4=1, G_Y1, IF(AG4=2, G_Y2, IF(AG4=3, G_Y3, IF(AG4=4, G_Y4, G_Y5))))),0)</f>
        <v>0</v>
      </c>
      <c r="AH5" s="18">
        <f>ROUND(AG5*(1+IF(AH4=1, G_Y1, IF(AH4=2, G_Y2, IF(AH4=3, G_Y3, IF(AH4=4, G_Y4, G_Y5))))),0)</f>
        <v>0</v>
      </c>
      <c r="AI5" s="18">
        <f>ROUND(AH5*(1+IF(AI4=1, G_Y1, IF(AI4=2, G_Y2, IF(AI4=3, G_Y3, IF(AI4=4, G_Y4, G_Y5))))),0)</f>
        <v>0</v>
      </c>
      <c r="AJ5" s="18">
        <f>ROUND(AI5*(1+IF(AJ4=1, G_Y1, IF(AJ4=2, G_Y2, IF(AJ4=3, G_Y3, IF(AJ4=4, G_Y4, G_Y5))))),0)</f>
        <v>0</v>
      </c>
      <c r="AK5" s="18">
        <f>ROUND(AJ5*(1+IF(AK4=1, G_Y1, IF(AK4=2, G_Y2, IF(AK4=3, G_Y3, IF(AK4=4, G_Y4, G_Y5))))),0)</f>
        <v>0</v>
      </c>
      <c r="AL5" s="18">
        <f>ROUND(AK5*(1+IF(AL4=1, G_Y1, IF(AL4=2, G_Y2, IF(AL4=3, G_Y3, IF(AL4=4, G_Y4, G_Y5))))),0)</f>
        <v>0</v>
      </c>
      <c r="AM5" s="18">
        <f>ROUND(AL5*(1+IF(AM4=1, G_Y1, IF(AM4=2, G_Y2, IF(AM4=3, G_Y3, IF(AM4=4, G_Y4, G_Y5))))),0)</f>
        <v>0</v>
      </c>
      <c r="AN5" s="18">
        <f>ROUND(AM5*(1+IF(AN4=1, G_Y1, IF(AN4=2, G_Y2, IF(AN4=3, G_Y3, IF(AN4=4, G_Y4, G_Y5))))),0)</f>
        <v>0</v>
      </c>
      <c r="AO5" s="18">
        <f>ROUND(AN5*(1+IF(AO4=1, G_Y1, IF(AO4=2, G_Y2, IF(AO4=3, G_Y3, IF(AO4=4, G_Y4, G_Y5))))),0)</f>
        <v>0</v>
      </c>
      <c r="AP5" s="18">
        <f>ROUND(AO5*(1+IF(AP4=1, G_Y1, IF(AP4=2, G_Y2, IF(AP4=3, G_Y3, IF(AP4=4, G_Y4, G_Y5))))),0)</f>
        <v>0</v>
      </c>
      <c r="AQ5" s="18">
        <f>ROUND(AP5*(1+IF(AQ4=1, G_Y1, IF(AQ4=2, G_Y2, IF(AQ4=3, G_Y3, IF(AQ4=4, G_Y4, G_Y5))))),0)</f>
        <v>0</v>
      </c>
      <c r="AR5" s="18">
        <f>ROUND(AQ5*(1+IF(AR4=1, G_Y1, IF(AR4=2, G_Y2, IF(AR4=3, G_Y3, IF(AR4=4, G_Y4, G_Y5))))),0)</f>
        <v>0</v>
      </c>
      <c r="AS5" s="18">
        <f>ROUND(AR5*(1+IF(AS4=1, G_Y1, IF(AS4=2, G_Y2, IF(AS4=3, G_Y3, IF(AS4=4, G_Y4, G_Y5))))),0)</f>
        <v>0</v>
      </c>
      <c r="AT5" s="18">
        <f>ROUND(AS5*(1+IF(AT4=1, G_Y1, IF(AT4=2, G_Y2, IF(AT4=3, G_Y3, IF(AT4=4, G_Y4, G_Y5))))),0)</f>
        <v>0</v>
      </c>
      <c r="AU5" s="18">
        <f>ROUND(AT5*(1+IF(AU4=1, G_Y1, IF(AU4=2, G_Y2, IF(AU4=3, G_Y3, IF(AU4=4, G_Y4, G_Y5))))),0)</f>
        <v>0</v>
      </c>
      <c r="AV5" s="18">
        <f>ROUND(AU5*(1+IF(AV4=1, G_Y1, IF(AV4=2, G_Y2, IF(AV4=3, G_Y3, IF(AV4=4, G_Y4, G_Y5))))),0)</f>
        <v>0</v>
      </c>
      <c r="AW5" s="18">
        <f>ROUND(AV5*(1+IF(AW4=1, G_Y1, IF(AW4=2, G_Y2, IF(AW4=3, G_Y3, IF(AW4=4, G_Y4, G_Y5))))),0)</f>
        <v>0</v>
      </c>
      <c r="AX5" s="18">
        <f>ROUND(AW5*(1+IF(AX4=1, G_Y1, IF(AX4=2, G_Y2, IF(AX4=3, G_Y3, IF(AX4=4, G_Y4, G_Y5))))),0)</f>
        <v>0</v>
      </c>
      <c r="AY5" s="18">
        <f>ROUND(AX5*(1+IF(AY4=1, G_Y1, IF(AY4=2, G_Y2, IF(AY4=3, G_Y3, IF(AY4=4, G_Y4, G_Y5))))),0)</f>
        <v>0</v>
      </c>
      <c r="AZ5" s="18">
        <f>ROUND(AY5*(1+IF(AZ4=1, G_Y1, IF(AZ4=2, G_Y2, IF(AZ4=3, G_Y3, IF(AZ4=4, G_Y4, G_Y5))))),0)</f>
        <v>0</v>
      </c>
      <c r="BA5" s="18">
        <f>ROUND(AZ5*(1+IF(BA4=1, G_Y1, IF(BA4=2, G_Y2, IF(BA4=3, G_Y3, IF(BA4=4, G_Y4, G_Y5))))),0)</f>
        <v>0</v>
      </c>
      <c r="BB5" s="18">
        <f>ROUND(BA5*(1+IF(BB4=1, G_Y1, IF(BB4=2, G_Y2, IF(BB4=3, G_Y3, IF(BB4=4, G_Y4, G_Y5))))),0)</f>
        <v>0</v>
      </c>
      <c r="BC5" s="18">
        <f>ROUND(BB5*(1+IF(BC4=1, G_Y1, IF(BC4=2, G_Y2, IF(BC4=3, G_Y3, IF(BC4=4, G_Y4, G_Y5))))),0)</f>
        <v>0</v>
      </c>
      <c r="BD5" s="18">
        <f>ROUND(BC5*(1+IF(BD4=1, G_Y1, IF(BD4=2, G_Y2, IF(BD4=3, G_Y3, IF(BD4=4, G_Y4, G_Y5))))),0)</f>
        <v>0</v>
      </c>
      <c r="BE5" s="18">
        <f>ROUND(BD5*(1+IF(BE4=1, G_Y1, IF(BE4=2, G_Y2, IF(BE4=3, G_Y3, IF(BE4=4, G_Y4, G_Y5))))),0)</f>
        <v>0</v>
      </c>
      <c r="BF5" s="18">
        <f>ROUND(BE5*(1+IF(BF4=1, G_Y1, IF(BF4=2, G_Y2, IF(BF4=3, G_Y3, IF(BF4=4, G_Y4, G_Y5))))),0)</f>
        <v>0</v>
      </c>
      <c r="BG5" s="18">
        <f>ROUND(BF5*(1+IF(BG4=1, G_Y1, IF(BG4=2, G_Y2, IF(BG4=3, G_Y3, IF(BG4=4, G_Y4, G_Y5))))),0)</f>
        <v>0</v>
      </c>
      <c r="BH5" s="18">
        <f>ROUND(BG5*(1+IF(BH4=1, G_Y1, IF(BH4=2, G_Y2, IF(BH4=3, G_Y3, IF(BH4=4, G_Y4, G_Y5))))),0)</f>
        <v>0</v>
      </c>
      <c r="BI5" s="18">
        <f>ROUND(BH5*(1+IF(BI4=1, G_Y1, IF(BI4=2, G_Y2, IF(BI4=3, G_Y3, IF(BI4=4, G_Y4, G_Y5))))),0)</f>
        <v>0</v>
      </c>
    </row>
    <row r="6" spans="1:61">
      <c r="A6" s="2" t="s">
        <v>200</v>
      </c>
      <c r="B6" s="18">
        <f>B5</f>
        <v>0</v>
      </c>
      <c r="C6" s="18">
        <f>B6*(1-Logo_Churn_P)+C5</f>
        <v>0</v>
      </c>
      <c r="D6" s="18">
        <f>C6*(1-Logo_Churn_P)+D5</f>
        <v>0</v>
      </c>
      <c r="E6" s="18">
        <f>D6*(1-Logo_Churn_P)+E5</f>
        <v>0</v>
      </c>
      <c r="F6" s="18">
        <f>E6*(1-Logo_Churn_P)+F5</f>
        <v>0</v>
      </c>
      <c r="G6" s="18">
        <f>F6*(1-Logo_Churn_P)+G5</f>
        <v>0</v>
      </c>
      <c r="H6" s="18">
        <f>G6*(1-Logo_Churn_P)+H5</f>
        <v>0</v>
      </c>
      <c r="I6" s="18">
        <f>H6*(1-Logo_Churn_P)+I5</f>
        <v>0</v>
      </c>
      <c r="J6" s="18">
        <f>I6*(1-Logo_Churn_P)+J5</f>
        <v>0</v>
      </c>
      <c r="K6" s="18">
        <f>J6*(1-Logo_Churn_P)+K5</f>
        <v>0</v>
      </c>
      <c r="L6" s="18">
        <f>K6*(1-Logo_Churn_P)+L5</f>
        <v>0</v>
      </c>
      <c r="M6" s="18">
        <f>L6*(1-Logo_Churn_P)+M5</f>
        <v>0</v>
      </c>
      <c r="N6" s="18">
        <f>M6*(1-Logo_Churn_P)+N5</f>
        <v>0</v>
      </c>
      <c r="O6" s="18">
        <f>N6*(1-Logo_Churn_P)+O5</f>
        <v>0</v>
      </c>
      <c r="P6" s="18">
        <f>O6*(1-Logo_Churn_P)+P5</f>
        <v>0</v>
      </c>
      <c r="Q6" s="18">
        <f>P6*(1-Logo_Churn_P)+Q5</f>
        <v>0</v>
      </c>
      <c r="R6" s="18">
        <f>Q6*(1-Logo_Churn_P)+R5</f>
        <v>0</v>
      </c>
      <c r="S6" s="18">
        <f>R6*(1-Logo_Churn_P)+S5</f>
        <v>0</v>
      </c>
      <c r="T6" s="18">
        <f>S6*(1-Logo_Churn_P)+T5</f>
        <v>0</v>
      </c>
      <c r="U6" s="18">
        <f>T6*(1-Logo_Churn_P)+U5</f>
        <v>0</v>
      </c>
      <c r="V6" s="18">
        <f>U6*(1-Logo_Churn_P)+V5</f>
        <v>0</v>
      </c>
      <c r="W6" s="18">
        <f>V6*(1-Logo_Churn_P)+W5</f>
        <v>0</v>
      </c>
      <c r="X6" s="18">
        <f>W6*(1-Logo_Churn_P)+X5</f>
        <v>0</v>
      </c>
      <c r="Y6" s="18">
        <f>X6*(1-Logo_Churn_P)+Y5</f>
        <v>0</v>
      </c>
      <c r="Z6" s="18">
        <f>Y6*(1-Logo_Churn_P)+Z5</f>
        <v>0</v>
      </c>
      <c r="AA6" s="18">
        <f>Z6*(1-Logo_Churn_P)+AA5</f>
        <v>0</v>
      </c>
      <c r="AB6" s="18">
        <f>AA6*(1-Logo_Churn_P)+AB5</f>
        <v>0</v>
      </c>
      <c r="AC6" s="18">
        <f>AB6*(1-Logo_Churn_P)+AC5</f>
        <v>0</v>
      </c>
      <c r="AD6" s="18">
        <f>AC6*(1-Logo_Churn_P)+AD5</f>
        <v>0</v>
      </c>
      <c r="AE6" s="18">
        <f>AD6*(1-Logo_Churn_P)+AE5</f>
        <v>0</v>
      </c>
      <c r="AF6" s="18">
        <f>AE6*(1-Logo_Churn_P)+AF5</f>
        <v>0</v>
      </c>
      <c r="AG6" s="18">
        <f>AF6*(1-Logo_Churn_P)+AG5</f>
        <v>0</v>
      </c>
      <c r="AH6" s="18">
        <f>AG6*(1-Logo_Churn_P)+AH5</f>
        <v>0</v>
      </c>
      <c r="AI6" s="18">
        <f>AH6*(1-Logo_Churn_P)+AI5</f>
        <v>0</v>
      </c>
      <c r="AJ6" s="18">
        <f>AI6*(1-Logo_Churn_P)+AJ5</f>
        <v>0</v>
      </c>
      <c r="AK6" s="18">
        <f>AJ6*(1-Logo_Churn_P)+AK5</f>
        <v>0</v>
      </c>
      <c r="AL6" s="18">
        <f>AK6*(1-Logo_Churn_P)+AL5</f>
        <v>0</v>
      </c>
      <c r="AM6" s="18">
        <f>AL6*(1-Logo_Churn_P)+AM5</f>
        <v>0</v>
      </c>
      <c r="AN6" s="18">
        <f>AM6*(1-Logo_Churn_P)+AN5</f>
        <v>0</v>
      </c>
      <c r="AO6" s="18">
        <f>AN6*(1-Logo_Churn_P)+AO5</f>
        <v>0</v>
      </c>
      <c r="AP6" s="18">
        <f>AO6*(1-Logo_Churn_P)+AP5</f>
        <v>0</v>
      </c>
      <c r="AQ6" s="18">
        <f>AP6*(1-Logo_Churn_P)+AQ5</f>
        <v>0</v>
      </c>
      <c r="AR6" s="18">
        <f>AQ6*(1-Logo_Churn_P)+AR5</f>
        <v>0</v>
      </c>
      <c r="AS6" s="18">
        <f>AR6*(1-Logo_Churn_P)+AS5</f>
        <v>0</v>
      </c>
      <c r="AT6" s="18">
        <f>AS6*(1-Logo_Churn_P)+AT5</f>
        <v>0</v>
      </c>
      <c r="AU6" s="18">
        <f>AT6*(1-Logo_Churn_P)+AU5</f>
        <v>0</v>
      </c>
      <c r="AV6" s="18">
        <f>AU6*(1-Logo_Churn_P)+AV5</f>
        <v>0</v>
      </c>
      <c r="AW6" s="18">
        <f>AV6*(1-Logo_Churn_P)+AW5</f>
        <v>0</v>
      </c>
      <c r="AX6" s="18">
        <f>AW6*(1-Logo_Churn_P)+AX5</f>
        <v>0</v>
      </c>
      <c r="AY6" s="18">
        <f>AX6*(1-Logo_Churn_P)+AY5</f>
        <v>0</v>
      </c>
      <c r="AZ6" s="18">
        <f>AY6*(1-Logo_Churn_P)+AZ5</f>
        <v>0</v>
      </c>
      <c r="BA6" s="18">
        <f>AZ6*(1-Logo_Churn_P)+BA5</f>
        <v>0</v>
      </c>
      <c r="BB6" s="18">
        <f>BA6*(1-Logo_Churn_P)+BB5</f>
        <v>0</v>
      </c>
      <c r="BC6" s="18">
        <f>BB6*(1-Logo_Churn_P)+BC5</f>
        <v>0</v>
      </c>
      <c r="BD6" s="18">
        <f>BC6*(1-Logo_Churn_P)+BD5</f>
        <v>0</v>
      </c>
      <c r="BE6" s="18">
        <f>BD6*(1-Logo_Churn_P)+BE5</f>
        <v>0</v>
      </c>
      <c r="BF6" s="18">
        <f>BE6*(1-Logo_Churn_P)+BF5</f>
        <v>0</v>
      </c>
      <c r="BG6" s="18">
        <f>BF6*(1-Logo_Churn_P)+BG5</f>
        <v>0</v>
      </c>
      <c r="BH6" s="18">
        <f>BG6*(1-Logo_Churn_P)+BH5</f>
        <v>0</v>
      </c>
      <c r="BI6" s="18">
        <f>BH6*(1-Logo_Churn_P)+BI5</f>
        <v>0</v>
      </c>
    </row>
    <row r="7" spans="1:61">
      <c r="A7" s="2" t="s">
        <v>201</v>
      </c>
      <c r="B7" s="19">
        <v>0</v>
      </c>
      <c r="C7" s="19">
        <f>B12</f>
        <v>0</v>
      </c>
      <c r="D7" s="19">
        <f>C12</f>
        <v>0</v>
      </c>
      <c r="E7" s="19">
        <f>D12</f>
        <v>0</v>
      </c>
      <c r="F7" s="19">
        <f>E12</f>
        <v>0</v>
      </c>
      <c r="G7" s="19">
        <f>F12</f>
        <v>0</v>
      </c>
      <c r="H7" s="19">
        <f>G12</f>
        <v>0</v>
      </c>
      <c r="I7" s="19">
        <f>H12</f>
        <v>0</v>
      </c>
      <c r="J7" s="19">
        <f>I12</f>
        <v>0</v>
      </c>
      <c r="K7" s="19">
        <f>J12</f>
        <v>0</v>
      </c>
      <c r="L7" s="19">
        <f>K12</f>
        <v>0</v>
      </c>
      <c r="M7" s="19">
        <f>L12</f>
        <v>0</v>
      </c>
      <c r="N7" s="19">
        <f>M12</f>
        <v>0</v>
      </c>
      <c r="O7" s="19">
        <f>N12</f>
        <v>0</v>
      </c>
      <c r="P7" s="19">
        <f>O12</f>
        <v>0</v>
      </c>
      <c r="Q7" s="19">
        <f>P12</f>
        <v>0</v>
      </c>
      <c r="R7" s="19">
        <f>Q12</f>
        <v>0</v>
      </c>
      <c r="S7" s="19">
        <f>R12</f>
        <v>0</v>
      </c>
      <c r="T7" s="19">
        <f>S12</f>
        <v>0</v>
      </c>
      <c r="U7" s="19">
        <f>T12</f>
        <v>0</v>
      </c>
      <c r="V7" s="19">
        <f>U12</f>
        <v>0</v>
      </c>
      <c r="W7" s="19">
        <f>V12</f>
        <v>0</v>
      </c>
      <c r="X7" s="19">
        <f>W12</f>
        <v>0</v>
      </c>
      <c r="Y7" s="19">
        <f>X12</f>
        <v>0</v>
      </c>
      <c r="Z7" s="19">
        <f>Y12</f>
        <v>0</v>
      </c>
      <c r="AA7" s="19">
        <f>Z12</f>
        <v>0</v>
      </c>
      <c r="AB7" s="19">
        <f>AA12</f>
        <v>0</v>
      </c>
      <c r="AC7" s="19">
        <f>AB12</f>
        <v>0</v>
      </c>
      <c r="AD7" s="19">
        <f>AC12</f>
        <v>0</v>
      </c>
      <c r="AE7" s="19">
        <f>AD12</f>
        <v>0</v>
      </c>
      <c r="AF7" s="19">
        <f>AE12</f>
        <v>0</v>
      </c>
      <c r="AG7" s="19">
        <f>AF12</f>
        <v>0</v>
      </c>
      <c r="AH7" s="19">
        <f>AG12</f>
        <v>0</v>
      </c>
      <c r="AI7" s="19">
        <f>AH12</f>
        <v>0</v>
      </c>
      <c r="AJ7" s="19">
        <f>AI12</f>
        <v>0</v>
      </c>
      <c r="AK7" s="19">
        <f>AJ12</f>
        <v>0</v>
      </c>
      <c r="AL7" s="19">
        <f>AK12</f>
        <v>0</v>
      </c>
      <c r="AM7" s="19">
        <f>AL12</f>
        <v>0</v>
      </c>
      <c r="AN7" s="19">
        <f>AM12</f>
        <v>0</v>
      </c>
      <c r="AO7" s="19">
        <f>AN12</f>
        <v>0</v>
      </c>
      <c r="AP7" s="19">
        <f>AO12</f>
        <v>0</v>
      </c>
      <c r="AQ7" s="19">
        <f>AP12</f>
        <v>0</v>
      </c>
      <c r="AR7" s="19">
        <f>AQ12</f>
        <v>0</v>
      </c>
      <c r="AS7" s="19">
        <f>AR12</f>
        <v>0</v>
      </c>
      <c r="AT7" s="19">
        <f>AS12</f>
        <v>0</v>
      </c>
      <c r="AU7" s="19">
        <f>AT12</f>
        <v>0</v>
      </c>
      <c r="AV7" s="19">
        <f>AU12</f>
        <v>0</v>
      </c>
      <c r="AW7" s="19">
        <f>AV12</f>
        <v>0</v>
      </c>
      <c r="AX7" s="19">
        <f>AW12</f>
        <v>0</v>
      </c>
      <c r="AY7" s="19">
        <f>AX12</f>
        <v>0</v>
      </c>
      <c r="AZ7" s="19">
        <f>AY12</f>
        <v>0</v>
      </c>
      <c r="BA7" s="19">
        <f>AZ12</f>
        <v>0</v>
      </c>
      <c r="BB7" s="19">
        <f>BA12</f>
        <v>0</v>
      </c>
      <c r="BC7" s="19">
        <f>BB12</f>
        <v>0</v>
      </c>
      <c r="BD7" s="19">
        <f>BC12</f>
        <v>0</v>
      </c>
      <c r="BE7" s="19">
        <f>BD12</f>
        <v>0</v>
      </c>
      <c r="BF7" s="19">
        <f>BE12</f>
        <v>0</v>
      </c>
      <c r="BG7" s="19">
        <f>BF12</f>
        <v>0</v>
      </c>
      <c r="BH7" s="19">
        <f>BG12</f>
        <v>0</v>
      </c>
      <c r="BI7" s="19">
        <f>BH12</f>
        <v>0</v>
      </c>
    </row>
    <row r="8" spans="1:61">
      <c r="A8" s="2" t="s">
        <v>202</v>
      </c>
      <c r="B8" s="19">
        <f>B5*ARPA_P*12</f>
        <v>0</v>
      </c>
      <c r="C8" s="19">
        <f>C5*ARPA_P*12</f>
        <v>0</v>
      </c>
      <c r="D8" s="19">
        <f>D5*ARPA_P*12</f>
        <v>0</v>
      </c>
      <c r="E8" s="19">
        <f>E5*ARPA_P*12</f>
        <v>0</v>
      </c>
      <c r="F8" s="19">
        <f>F5*ARPA_P*12</f>
        <v>0</v>
      </c>
      <c r="G8" s="19">
        <f>G5*ARPA_P*12</f>
        <v>0</v>
      </c>
      <c r="H8" s="19">
        <f>H5*ARPA_P*12</f>
        <v>0</v>
      </c>
      <c r="I8" s="19">
        <f>I5*ARPA_P*12</f>
        <v>0</v>
      </c>
      <c r="J8" s="19">
        <f>J5*ARPA_P*12</f>
        <v>0</v>
      </c>
      <c r="K8" s="19">
        <f>K5*ARPA_P*12</f>
        <v>0</v>
      </c>
      <c r="L8" s="19">
        <f>L5*ARPA_P*12</f>
        <v>0</v>
      </c>
      <c r="M8" s="19">
        <f>M5*ARPA_P*12</f>
        <v>0</v>
      </c>
      <c r="N8" s="19">
        <f>N5*ARPA_P*12</f>
        <v>0</v>
      </c>
      <c r="O8" s="19">
        <f>O5*ARPA_P*12</f>
        <v>0</v>
      </c>
      <c r="P8" s="19">
        <f>P5*ARPA_P*12</f>
        <v>0</v>
      </c>
      <c r="Q8" s="19">
        <f>Q5*ARPA_P*12</f>
        <v>0</v>
      </c>
      <c r="R8" s="19">
        <f>R5*ARPA_P*12</f>
        <v>0</v>
      </c>
      <c r="S8" s="19">
        <f>S5*ARPA_P*12</f>
        <v>0</v>
      </c>
      <c r="T8" s="19">
        <f>T5*ARPA_P*12</f>
        <v>0</v>
      </c>
      <c r="U8" s="19">
        <f>U5*ARPA_P*12</f>
        <v>0</v>
      </c>
      <c r="V8" s="19">
        <f>V5*ARPA_P*12</f>
        <v>0</v>
      </c>
      <c r="W8" s="19">
        <f>W5*ARPA_P*12</f>
        <v>0</v>
      </c>
      <c r="X8" s="19">
        <f>X5*ARPA_P*12</f>
        <v>0</v>
      </c>
      <c r="Y8" s="19">
        <f>Y5*ARPA_P*12</f>
        <v>0</v>
      </c>
      <c r="Z8" s="19">
        <f>Z5*ARPA_P*12</f>
        <v>0</v>
      </c>
      <c r="AA8" s="19">
        <f>AA5*ARPA_P*12</f>
        <v>0</v>
      </c>
      <c r="AB8" s="19">
        <f>AB5*ARPA_P*12</f>
        <v>0</v>
      </c>
      <c r="AC8" s="19">
        <f>AC5*ARPA_P*12</f>
        <v>0</v>
      </c>
      <c r="AD8" s="19">
        <f>AD5*ARPA_P*12</f>
        <v>0</v>
      </c>
      <c r="AE8" s="19">
        <f>AE5*ARPA_P*12</f>
        <v>0</v>
      </c>
      <c r="AF8" s="19">
        <f>AF5*ARPA_P*12</f>
        <v>0</v>
      </c>
      <c r="AG8" s="19">
        <f>AG5*ARPA_P*12</f>
        <v>0</v>
      </c>
      <c r="AH8" s="19">
        <f>AH5*ARPA_P*12</f>
        <v>0</v>
      </c>
      <c r="AI8" s="19">
        <f>AI5*ARPA_P*12</f>
        <v>0</v>
      </c>
      <c r="AJ8" s="19">
        <f>AJ5*ARPA_P*12</f>
        <v>0</v>
      </c>
      <c r="AK8" s="19">
        <f>AK5*ARPA_P*12</f>
        <v>0</v>
      </c>
      <c r="AL8" s="19">
        <f>AL5*ARPA_P*12</f>
        <v>0</v>
      </c>
      <c r="AM8" s="19">
        <f>AM5*ARPA_P*12</f>
        <v>0</v>
      </c>
      <c r="AN8" s="19">
        <f>AN5*ARPA_P*12</f>
        <v>0</v>
      </c>
      <c r="AO8" s="19">
        <f>AO5*ARPA_P*12</f>
        <v>0</v>
      </c>
      <c r="AP8" s="19">
        <f>AP5*ARPA_P*12</f>
        <v>0</v>
      </c>
      <c r="AQ8" s="19">
        <f>AQ5*ARPA_P*12</f>
        <v>0</v>
      </c>
      <c r="AR8" s="19">
        <f>AR5*ARPA_P*12</f>
        <v>0</v>
      </c>
      <c r="AS8" s="19">
        <f>AS5*ARPA_P*12</f>
        <v>0</v>
      </c>
      <c r="AT8" s="19">
        <f>AT5*ARPA_P*12</f>
        <v>0</v>
      </c>
      <c r="AU8" s="19">
        <f>AU5*ARPA_P*12</f>
        <v>0</v>
      </c>
      <c r="AV8" s="19">
        <f>AV5*ARPA_P*12</f>
        <v>0</v>
      </c>
      <c r="AW8" s="19">
        <f>AW5*ARPA_P*12</f>
        <v>0</v>
      </c>
      <c r="AX8" s="19">
        <f>AX5*ARPA_P*12</f>
        <v>0</v>
      </c>
      <c r="AY8" s="19">
        <f>AY5*ARPA_P*12</f>
        <v>0</v>
      </c>
      <c r="AZ8" s="19">
        <f>AZ5*ARPA_P*12</f>
        <v>0</v>
      </c>
      <c r="BA8" s="19">
        <f>BA5*ARPA_P*12</f>
        <v>0</v>
      </c>
      <c r="BB8" s="19">
        <f>BB5*ARPA_P*12</f>
        <v>0</v>
      </c>
      <c r="BC8" s="19">
        <f>BC5*ARPA_P*12</f>
        <v>0</v>
      </c>
      <c r="BD8" s="19">
        <f>BD5*ARPA_P*12</f>
        <v>0</v>
      </c>
      <c r="BE8" s="19">
        <f>BE5*ARPA_P*12</f>
        <v>0</v>
      </c>
      <c r="BF8" s="19">
        <f>BF5*ARPA_P*12</f>
        <v>0</v>
      </c>
      <c r="BG8" s="19">
        <f>BG5*ARPA_P*12</f>
        <v>0</v>
      </c>
      <c r="BH8" s="19">
        <f>BH5*ARPA_P*12</f>
        <v>0</v>
      </c>
      <c r="BI8" s="19">
        <f>BI5*ARPA_P*12</f>
        <v>0</v>
      </c>
    </row>
    <row r="9" spans="1:61">
      <c r="A9" s="2" t="s">
        <v>203</v>
      </c>
      <c r="B9" s="19">
        <f>B7*Expansion_P</f>
        <v>0</v>
      </c>
      <c r="C9" s="19">
        <f>C7*Expansion_P</f>
        <v>0</v>
      </c>
      <c r="D9" s="19">
        <f>D7*Expansion_P</f>
        <v>0</v>
      </c>
      <c r="E9" s="19">
        <f>E7*Expansion_P</f>
        <v>0</v>
      </c>
      <c r="F9" s="19">
        <f>F7*Expansion_P</f>
        <v>0</v>
      </c>
      <c r="G9" s="19">
        <f>G7*Expansion_P</f>
        <v>0</v>
      </c>
      <c r="H9" s="19">
        <f>H7*Expansion_P</f>
        <v>0</v>
      </c>
      <c r="I9" s="19">
        <f>I7*Expansion_P</f>
        <v>0</v>
      </c>
      <c r="J9" s="19">
        <f>J7*Expansion_P</f>
        <v>0</v>
      </c>
      <c r="K9" s="19">
        <f>K7*Expansion_P</f>
        <v>0</v>
      </c>
      <c r="L9" s="19">
        <f>L7*Expansion_P</f>
        <v>0</v>
      </c>
      <c r="M9" s="19">
        <f>M7*Expansion_P</f>
        <v>0</v>
      </c>
      <c r="N9" s="19">
        <f>N7*Expansion_P</f>
        <v>0</v>
      </c>
      <c r="O9" s="19">
        <f>O7*Expansion_P</f>
        <v>0</v>
      </c>
      <c r="P9" s="19">
        <f>P7*Expansion_P</f>
        <v>0</v>
      </c>
      <c r="Q9" s="19">
        <f>Q7*Expansion_P</f>
        <v>0</v>
      </c>
      <c r="R9" s="19">
        <f>R7*Expansion_P</f>
        <v>0</v>
      </c>
      <c r="S9" s="19">
        <f>S7*Expansion_P</f>
        <v>0</v>
      </c>
      <c r="T9" s="19">
        <f>T7*Expansion_P</f>
        <v>0</v>
      </c>
      <c r="U9" s="19">
        <f>U7*Expansion_P</f>
        <v>0</v>
      </c>
      <c r="V9" s="19">
        <f>V7*Expansion_P</f>
        <v>0</v>
      </c>
      <c r="W9" s="19">
        <f>W7*Expansion_P</f>
        <v>0</v>
      </c>
      <c r="X9" s="19">
        <f>X7*Expansion_P</f>
        <v>0</v>
      </c>
      <c r="Y9" s="19">
        <f>Y7*Expansion_P</f>
        <v>0</v>
      </c>
      <c r="Z9" s="19">
        <f>Z7*Expansion_P</f>
        <v>0</v>
      </c>
      <c r="AA9" s="19">
        <f>AA7*Expansion_P</f>
        <v>0</v>
      </c>
      <c r="AB9" s="19">
        <f>AB7*Expansion_P</f>
        <v>0</v>
      </c>
      <c r="AC9" s="19">
        <f>AC7*Expansion_P</f>
        <v>0</v>
      </c>
      <c r="AD9" s="19">
        <f>AD7*Expansion_P</f>
        <v>0</v>
      </c>
      <c r="AE9" s="19">
        <f>AE7*Expansion_P</f>
        <v>0</v>
      </c>
      <c r="AF9" s="19">
        <f>AF7*Expansion_P</f>
        <v>0</v>
      </c>
      <c r="AG9" s="19">
        <f>AG7*Expansion_P</f>
        <v>0</v>
      </c>
      <c r="AH9" s="19">
        <f>AH7*Expansion_P</f>
        <v>0</v>
      </c>
      <c r="AI9" s="19">
        <f>AI7*Expansion_P</f>
        <v>0</v>
      </c>
      <c r="AJ9" s="19">
        <f>AJ7*Expansion_P</f>
        <v>0</v>
      </c>
      <c r="AK9" s="19">
        <f>AK7*Expansion_P</f>
        <v>0</v>
      </c>
      <c r="AL9" s="19">
        <f>AL7*Expansion_P</f>
        <v>0</v>
      </c>
      <c r="AM9" s="19">
        <f>AM7*Expansion_P</f>
        <v>0</v>
      </c>
      <c r="AN9" s="19">
        <f>AN7*Expansion_P</f>
        <v>0</v>
      </c>
      <c r="AO9" s="19">
        <f>AO7*Expansion_P</f>
        <v>0</v>
      </c>
      <c r="AP9" s="19">
        <f>AP7*Expansion_P</f>
        <v>0</v>
      </c>
      <c r="AQ9" s="19">
        <f>AQ7*Expansion_P</f>
        <v>0</v>
      </c>
      <c r="AR9" s="19">
        <f>AR7*Expansion_P</f>
        <v>0</v>
      </c>
      <c r="AS9" s="19">
        <f>AS7*Expansion_P</f>
        <v>0</v>
      </c>
      <c r="AT9" s="19">
        <f>AT7*Expansion_P</f>
        <v>0</v>
      </c>
      <c r="AU9" s="19">
        <f>AU7*Expansion_P</f>
        <v>0</v>
      </c>
      <c r="AV9" s="19">
        <f>AV7*Expansion_P</f>
        <v>0</v>
      </c>
      <c r="AW9" s="19">
        <f>AW7*Expansion_P</f>
        <v>0</v>
      </c>
      <c r="AX9" s="19">
        <f>AX7*Expansion_P</f>
        <v>0</v>
      </c>
      <c r="AY9" s="19">
        <f>AY7*Expansion_P</f>
        <v>0</v>
      </c>
      <c r="AZ9" s="19">
        <f>AZ7*Expansion_P</f>
        <v>0</v>
      </c>
      <c r="BA9" s="19">
        <f>BA7*Expansion_P</f>
        <v>0</v>
      </c>
      <c r="BB9" s="19">
        <f>BB7*Expansion_P</f>
        <v>0</v>
      </c>
      <c r="BC9" s="19">
        <f>BC7*Expansion_P</f>
        <v>0</v>
      </c>
      <c r="BD9" s="19">
        <f>BD7*Expansion_P</f>
        <v>0</v>
      </c>
      <c r="BE9" s="19">
        <f>BE7*Expansion_P</f>
        <v>0</v>
      </c>
      <c r="BF9" s="19">
        <f>BF7*Expansion_P</f>
        <v>0</v>
      </c>
      <c r="BG9" s="19">
        <f>BG7*Expansion_P</f>
        <v>0</v>
      </c>
      <c r="BH9" s="19">
        <f>BH7*Expansion_P</f>
        <v>0</v>
      </c>
      <c r="BI9" s="19">
        <f>BI7*Expansion_P</f>
        <v>0</v>
      </c>
    </row>
    <row r="10" spans="1:61">
      <c r="A10" s="2" t="s">
        <v>204</v>
      </c>
      <c r="B10" s="19">
        <f>-B7*Contraction_P</f>
        <v>0</v>
      </c>
      <c r="C10" s="19">
        <f>-C7*Contraction_P</f>
        <v>0</v>
      </c>
      <c r="D10" s="19">
        <f>-D7*Contraction_P</f>
        <v>0</v>
      </c>
      <c r="E10" s="19">
        <f>-E7*Contraction_P</f>
        <v>0</v>
      </c>
      <c r="F10" s="19">
        <f>-F7*Contraction_P</f>
        <v>0</v>
      </c>
      <c r="G10" s="19">
        <f>-G7*Contraction_P</f>
        <v>0</v>
      </c>
      <c r="H10" s="19">
        <f>-H7*Contraction_P</f>
        <v>0</v>
      </c>
      <c r="I10" s="19">
        <f>-I7*Contraction_P</f>
        <v>0</v>
      </c>
      <c r="J10" s="19">
        <f>-J7*Contraction_P</f>
        <v>0</v>
      </c>
      <c r="K10" s="19">
        <f>-K7*Contraction_P</f>
        <v>0</v>
      </c>
      <c r="L10" s="19">
        <f>-L7*Contraction_P</f>
        <v>0</v>
      </c>
      <c r="M10" s="19">
        <f>-M7*Contraction_P</f>
        <v>0</v>
      </c>
      <c r="N10" s="19">
        <f>-N7*Contraction_P</f>
        <v>0</v>
      </c>
      <c r="O10" s="19">
        <f>-O7*Contraction_P</f>
        <v>0</v>
      </c>
      <c r="P10" s="19">
        <f>-P7*Contraction_P</f>
        <v>0</v>
      </c>
      <c r="Q10" s="19">
        <f>-Q7*Contraction_P</f>
        <v>0</v>
      </c>
      <c r="R10" s="19">
        <f>-R7*Contraction_P</f>
        <v>0</v>
      </c>
      <c r="S10" s="19">
        <f>-S7*Contraction_P</f>
        <v>0</v>
      </c>
      <c r="T10" s="19">
        <f>-T7*Contraction_P</f>
        <v>0</v>
      </c>
      <c r="U10" s="19">
        <f>-U7*Contraction_P</f>
        <v>0</v>
      </c>
      <c r="V10" s="19">
        <f>-V7*Contraction_P</f>
        <v>0</v>
      </c>
      <c r="W10" s="19">
        <f>-W7*Contraction_P</f>
        <v>0</v>
      </c>
      <c r="X10" s="19">
        <f>-X7*Contraction_P</f>
        <v>0</v>
      </c>
      <c r="Y10" s="19">
        <f>-Y7*Contraction_P</f>
        <v>0</v>
      </c>
      <c r="Z10" s="19">
        <f>-Z7*Contraction_P</f>
        <v>0</v>
      </c>
      <c r="AA10" s="19">
        <f>-AA7*Contraction_P</f>
        <v>0</v>
      </c>
      <c r="AB10" s="19">
        <f>-AB7*Contraction_P</f>
        <v>0</v>
      </c>
      <c r="AC10" s="19">
        <f>-AC7*Contraction_P</f>
        <v>0</v>
      </c>
      <c r="AD10" s="19">
        <f>-AD7*Contraction_P</f>
        <v>0</v>
      </c>
      <c r="AE10" s="19">
        <f>-AE7*Contraction_P</f>
        <v>0</v>
      </c>
      <c r="AF10" s="19">
        <f>-AF7*Contraction_P</f>
        <v>0</v>
      </c>
      <c r="AG10" s="19">
        <f>-AG7*Contraction_P</f>
        <v>0</v>
      </c>
      <c r="AH10" s="19">
        <f>-AH7*Contraction_P</f>
        <v>0</v>
      </c>
      <c r="AI10" s="19">
        <f>-AI7*Contraction_P</f>
        <v>0</v>
      </c>
      <c r="AJ10" s="19">
        <f>-AJ7*Contraction_P</f>
        <v>0</v>
      </c>
      <c r="AK10" s="19">
        <f>-AK7*Contraction_P</f>
        <v>0</v>
      </c>
      <c r="AL10" s="19">
        <f>-AL7*Contraction_P</f>
        <v>0</v>
      </c>
      <c r="AM10" s="19">
        <f>-AM7*Contraction_P</f>
        <v>0</v>
      </c>
      <c r="AN10" s="19">
        <f>-AN7*Contraction_P</f>
        <v>0</v>
      </c>
      <c r="AO10" s="19">
        <f>-AO7*Contraction_P</f>
        <v>0</v>
      </c>
      <c r="AP10" s="19">
        <f>-AP7*Contraction_P</f>
        <v>0</v>
      </c>
      <c r="AQ10" s="19">
        <f>-AQ7*Contraction_P</f>
        <v>0</v>
      </c>
      <c r="AR10" s="19">
        <f>-AR7*Contraction_P</f>
        <v>0</v>
      </c>
      <c r="AS10" s="19">
        <f>-AS7*Contraction_P</f>
        <v>0</v>
      </c>
      <c r="AT10" s="19">
        <f>-AT7*Contraction_P</f>
        <v>0</v>
      </c>
      <c r="AU10" s="19">
        <f>-AU7*Contraction_P</f>
        <v>0</v>
      </c>
      <c r="AV10" s="19">
        <f>-AV7*Contraction_P</f>
        <v>0</v>
      </c>
      <c r="AW10" s="19">
        <f>-AW7*Contraction_P</f>
        <v>0</v>
      </c>
      <c r="AX10" s="19">
        <f>-AX7*Contraction_P</f>
        <v>0</v>
      </c>
      <c r="AY10" s="19">
        <f>-AY7*Contraction_P</f>
        <v>0</v>
      </c>
      <c r="AZ10" s="19">
        <f>-AZ7*Contraction_P</f>
        <v>0</v>
      </c>
      <c r="BA10" s="19">
        <f>-BA7*Contraction_P</f>
        <v>0</v>
      </c>
      <c r="BB10" s="19">
        <f>-BB7*Contraction_P</f>
        <v>0</v>
      </c>
      <c r="BC10" s="19">
        <f>-BC7*Contraction_P</f>
        <v>0</v>
      </c>
      <c r="BD10" s="19">
        <f>-BD7*Contraction_P</f>
        <v>0</v>
      </c>
      <c r="BE10" s="19">
        <f>-BE7*Contraction_P</f>
        <v>0</v>
      </c>
      <c r="BF10" s="19">
        <f>-BF7*Contraction_P</f>
        <v>0</v>
      </c>
      <c r="BG10" s="19">
        <f>-BG7*Contraction_P</f>
        <v>0</v>
      </c>
      <c r="BH10" s="19">
        <f>-BH7*Contraction_P</f>
        <v>0</v>
      </c>
      <c r="BI10" s="19">
        <f>-BI7*Contraction_P</f>
        <v>0</v>
      </c>
    </row>
    <row r="11" spans="1:61">
      <c r="A11" s="2" t="s">
        <v>205</v>
      </c>
      <c r="B11" s="19">
        <f>-B7*Rev_Churn_P</f>
        <v>0</v>
      </c>
      <c r="C11" s="19">
        <f>-C7*Rev_Churn_P</f>
        <v>0</v>
      </c>
      <c r="D11" s="19">
        <f>-D7*Rev_Churn_P</f>
        <v>0</v>
      </c>
      <c r="E11" s="19">
        <f>-E7*Rev_Churn_P</f>
        <v>0</v>
      </c>
      <c r="F11" s="19">
        <f>-F7*Rev_Churn_P</f>
        <v>0</v>
      </c>
      <c r="G11" s="19">
        <f>-G7*Rev_Churn_P</f>
        <v>0</v>
      </c>
      <c r="H11" s="19">
        <f>-H7*Rev_Churn_P</f>
        <v>0</v>
      </c>
      <c r="I11" s="19">
        <f>-I7*Rev_Churn_P</f>
        <v>0</v>
      </c>
      <c r="J11" s="19">
        <f>-J7*Rev_Churn_P</f>
        <v>0</v>
      </c>
      <c r="K11" s="19">
        <f>-K7*Rev_Churn_P</f>
        <v>0</v>
      </c>
      <c r="L11" s="19">
        <f>-L7*Rev_Churn_P</f>
        <v>0</v>
      </c>
      <c r="M11" s="19">
        <f>-M7*Rev_Churn_P</f>
        <v>0</v>
      </c>
      <c r="N11" s="19">
        <f>-N7*Rev_Churn_P</f>
        <v>0</v>
      </c>
      <c r="O11" s="19">
        <f>-O7*Rev_Churn_P</f>
        <v>0</v>
      </c>
      <c r="P11" s="19">
        <f>-P7*Rev_Churn_P</f>
        <v>0</v>
      </c>
      <c r="Q11" s="19">
        <f>-Q7*Rev_Churn_P</f>
        <v>0</v>
      </c>
      <c r="R11" s="19">
        <f>-R7*Rev_Churn_P</f>
        <v>0</v>
      </c>
      <c r="S11" s="19">
        <f>-S7*Rev_Churn_P</f>
        <v>0</v>
      </c>
      <c r="T11" s="19">
        <f>-T7*Rev_Churn_P</f>
        <v>0</v>
      </c>
      <c r="U11" s="19">
        <f>-U7*Rev_Churn_P</f>
        <v>0</v>
      </c>
      <c r="V11" s="19">
        <f>-V7*Rev_Churn_P</f>
        <v>0</v>
      </c>
      <c r="W11" s="19">
        <f>-W7*Rev_Churn_P</f>
        <v>0</v>
      </c>
      <c r="X11" s="19">
        <f>-X7*Rev_Churn_P</f>
        <v>0</v>
      </c>
      <c r="Y11" s="19">
        <f>-Y7*Rev_Churn_P</f>
        <v>0</v>
      </c>
      <c r="Z11" s="19">
        <f>-Z7*Rev_Churn_P</f>
        <v>0</v>
      </c>
      <c r="AA11" s="19">
        <f>-AA7*Rev_Churn_P</f>
        <v>0</v>
      </c>
      <c r="AB11" s="19">
        <f>-AB7*Rev_Churn_P</f>
        <v>0</v>
      </c>
      <c r="AC11" s="19">
        <f>-AC7*Rev_Churn_P</f>
        <v>0</v>
      </c>
      <c r="AD11" s="19">
        <f>-AD7*Rev_Churn_P</f>
        <v>0</v>
      </c>
      <c r="AE11" s="19">
        <f>-AE7*Rev_Churn_P</f>
        <v>0</v>
      </c>
      <c r="AF11" s="19">
        <f>-AF7*Rev_Churn_P</f>
        <v>0</v>
      </c>
      <c r="AG11" s="19">
        <f>-AG7*Rev_Churn_P</f>
        <v>0</v>
      </c>
      <c r="AH11" s="19">
        <f>-AH7*Rev_Churn_P</f>
        <v>0</v>
      </c>
      <c r="AI11" s="19">
        <f>-AI7*Rev_Churn_P</f>
        <v>0</v>
      </c>
      <c r="AJ11" s="19">
        <f>-AJ7*Rev_Churn_P</f>
        <v>0</v>
      </c>
      <c r="AK11" s="19">
        <f>-AK7*Rev_Churn_P</f>
        <v>0</v>
      </c>
      <c r="AL11" s="19">
        <f>-AL7*Rev_Churn_P</f>
        <v>0</v>
      </c>
      <c r="AM11" s="19">
        <f>-AM7*Rev_Churn_P</f>
        <v>0</v>
      </c>
      <c r="AN11" s="19">
        <f>-AN7*Rev_Churn_P</f>
        <v>0</v>
      </c>
      <c r="AO11" s="19">
        <f>-AO7*Rev_Churn_P</f>
        <v>0</v>
      </c>
      <c r="AP11" s="19">
        <f>-AP7*Rev_Churn_P</f>
        <v>0</v>
      </c>
      <c r="AQ11" s="19">
        <f>-AQ7*Rev_Churn_P</f>
        <v>0</v>
      </c>
      <c r="AR11" s="19">
        <f>-AR7*Rev_Churn_P</f>
        <v>0</v>
      </c>
      <c r="AS11" s="19">
        <f>-AS7*Rev_Churn_P</f>
        <v>0</v>
      </c>
      <c r="AT11" s="19">
        <f>-AT7*Rev_Churn_P</f>
        <v>0</v>
      </c>
      <c r="AU11" s="19">
        <f>-AU7*Rev_Churn_P</f>
        <v>0</v>
      </c>
      <c r="AV11" s="19">
        <f>-AV7*Rev_Churn_P</f>
        <v>0</v>
      </c>
      <c r="AW11" s="19">
        <f>-AW7*Rev_Churn_P</f>
        <v>0</v>
      </c>
      <c r="AX11" s="19">
        <f>-AX7*Rev_Churn_P</f>
        <v>0</v>
      </c>
      <c r="AY11" s="19">
        <f>-AY7*Rev_Churn_P</f>
        <v>0</v>
      </c>
      <c r="AZ11" s="19">
        <f>-AZ7*Rev_Churn_P</f>
        <v>0</v>
      </c>
      <c r="BA11" s="19">
        <f>-BA7*Rev_Churn_P</f>
        <v>0</v>
      </c>
      <c r="BB11" s="19">
        <f>-BB7*Rev_Churn_P</f>
        <v>0</v>
      </c>
      <c r="BC11" s="19">
        <f>-BC7*Rev_Churn_P</f>
        <v>0</v>
      </c>
      <c r="BD11" s="19">
        <f>-BD7*Rev_Churn_P</f>
        <v>0</v>
      </c>
      <c r="BE11" s="19">
        <f>-BE7*Rev_Churn_P</f>
        <v>0</v>
      </c>
      <c r="BF11" s="19">
        <f>-BF7*Rev_Churn_P</f>
        <v>0</v>
      </c>
      <c r="BG11" s="19">
        <f>-BG7*Rev_Churn_P</f>
        <v>0</v>
      </c>
      <c r="BH11" s="19">
        <f>-BH7*Rev_Churn_P</f>
        <v>0</v>
      </c>
      <c r="BI11" s="19">
        <f>-BI7*Rev_Churn_P</f>
        <v>0</v>
      </c>
    </row>
    <row r="12" spans="1:61">
      <c r="A12" s="2" t="s">
        <v>206</v>
      </c>
      <c r="B12" s="10">
        <f>B7+B8+B9+B10+B11</f>
        <v>0</v>
      </c>
      <c r="C12" s="10">
        <f>C7+C8+C9+C10+C11</f>
        <v>0</v>
      </c>
      <c r="D12" s="10">
        <f>D7+D8+D9+D10+D11</f>
        <v>0</v>
      </c>
      <c r="E12" s="10">
        <f>E7+E8+E9+E10+E11</f>
        <v>0</v>
      </c>
      <c r="F12" s="10">
        <f>F7+F8+F9+F10+F11</f>
        <v>0</v>
      </c>
      <c r="G12" s="10">
        <f>G7+G8+G9+G10+G11</f>
        <v>0</v>
      </c>
      <c r="H12" s="10">
        <f>H7+H8+H9+H10+H11</f>
        <v>0</v>
      </c>
      <c r="I12" s="10">
        <f>I7+I8+I9+I10+I11</f>
        <v>0</v>
      </c>
      <c r="J12" s="10">
        <f>J7+J8+J9+J10+J11</f>
        <v>0</v>
      </c>
      <c r="K12" s="10">
        <f>K7+K8+K9+K10+K11</f>
        <v>0</v>
      </c>
      <c r="L12" s="10">
        <f>L7+L8+L9+L10+L11</f>
        <v>0</v>
      </c>
      <c r="M12" s="10">
        <f>M7+M8+M9+M10+M11</f>
        <v>0</v>
      </c>
      <c r="N12" s="10">
        <f>N7+N8+N9+N10+N11</f>
        <v>0</v>
      </c>
      <c r="O12" s="10">
        <f>O7+O8+O9+O10+O11</f>
        <v>0</v>
      </c>
      <c r="P12" s="10">
        <f>P7+P8+P9+P10+P11</f>
        <v>0</v>
      </c>
      <c r="Q12" s="10">
        <f>Q7+Q8+Q9+Q10+Q11</f>
        <v>0</v>
      </c>
      <c r="R12" s="10">
        <f>R7+R8+R9+R10+R11</f>
        <v>0</v>
      </c>
      <c r="S12" s="10">
        <f>S7+S8+S9+S10+S11</f>
        <v>0</v>
      </c>
      <c r="T12" s="10">
        <f>T7+T8+T9+T10+T11</f>
        <v>0</v>
      </c>
      <c r="U12" s="10">
        <f>U7+U8+U9+U10+U11</f>
        <v>0</v>
      </c>
      <c r="V12" s="10">
        <f>V7+V8+V9+V10+V11</f>
        <v>0</v>
      </c>
      <c r="W12" s="10">
        <f>W7+W8+W9+W10+W11</f>
        <v>0</v>
      </c>
      <c r="X12" s="10">
        <f>X7+X8+X9+X10+X11</f>
        <v>0</v>
      </c>
      <c r="Y12" s="10">
        <f>Y7+Y8+Y9+Y10+Y11</f>
        <v>0</v>
      </c>
      <c r="Z12" s="10">
        <f>Z7+Z8+Z9+Z10+Z11</f>
        <v>0</v>
      </c>
      <c r="AA12" s="10">
        <f>AA7+AA8+AA9+AA10+AA11</f>
        <v>0</v>
      </c>
      <c r="AB12" s="10">
        <f>AB7+AB8+AB9+AB10+AB11</f>
        <v>0</v>
      </c>
      <c r="AC12" s="10">
        <f>AC7+AC8+AC9+AC10+AC11</f>
        <v>0</v>
      </c>
      <c r="AD12" s="10">
        <f>AD7+AD8+AD9+AD10+AD11</f>
        <v>0</v>
      </c>
      <c r="AE12" s="10">
        <f>AE7+AE8+AE9+AE10+AE11</f>
        <v>0</v>
      </c>
      <c r="AF12" s="10">
        <f>AF7+AF8+AF9+AF10+AF11</f>
        <v>0</v>
      </c>
      <c r="AG12" s="10">
        <f>AG7+AG8+AG9+AG10+AG11</f>
        <v>0</v>
      </c>
      <c r="AH12" s="10">
        <f>AH7+AH8+AH9+AH10+AH11</f>
        <v>0</v>
      </c>
      <c r="AI12" s="10">
        <f>AI7+AI8+AI9+AI10+AI11</f>
        <v>0</v>
      </c>
      <c r="AJ12" s="10">
        <f>AJ7+AJ8+AJ9+AJ10+AJ11</f>
        <v>0</v>
      </c>
      <c r="AK12" s="10">
        <f>AK7+AK8+AK9+AK10+AK11</f>
        <v>0</v>
      </c>
      <c r="AL12" s="10">
        <f>AL7+AL8+AL9+AL10+AL11</f>
        <v>0</v>
      </c>
      <c r="AM12" s="10">
        <f>AM7+AM8+AM9+AM10+AM11</f>
        <v>0</v>
      </c>
      <c r="AN12" s="10">
        <f>AN7+AN8+AN9+AN10+AN11</f>
        <v>0</v>
      </c>
      <c r="AO12" s="10">
        <f>AO7+AO8+AO9+AO10+AO11</f>
        <v>0</v>
      </c>
      <c r="AP12" s="10">
        <f>AP7+AP8+AP9+AP10+AP11</f>
        <v>0</v>
      </c>
      <c r="AQ12" s="10">
        <f>AQ7+AQ8+AQ9+AQ10+AQ11</f>
        <v>0</v>
      </c>
      <c r="AR12" s="10">
        <f>AR7+AR8+AR9+AR10+AR11</f>
        <v>0</v>
      </c>
      <c r="AS12" s="10">
        <f>AS7+AS8+AS9+AS10+AS11</f>
        <v>0</v>
      </c>
      <c r="AT12" s="10">
        <f>AT7+AT8+AT9+AT10+AT11</f>
        <v>0</v>
      </c>
      <c r="AU12" s="10">
        <f>AU7+AU8+AU9+AU10+AU11</f>
        <v>0</v>
      </c>
      <c r="AV12" s="10">
        <f>AV7+AV8+AV9+AV10+AV11</f>
        <v>0</v>
      </c>
      <c r="AW12" s="10">
        <f>AW7+AW8+AW9+AW10+AW11</f>
        <v>0</v>
      </c>
      <c r="AX12" s="10">
        <f>AX7+AX8+AX9+AX10+AX11</f>
        <v>0</v>
      </c>
      <c r="AY12" s="10">
        <f>AY7+AY8+AY9+AY10+AY11</f>
        <v>0</v>
      </c>
      <c r="AZ12" s="10">
        <f>AZ7+AZ8+AZ9+AZ10+AZ11</f>
        <v>0</v>
      </c>
      <c r="BA12" s="10">
        <f>BA7+BA8+BA9+BA10+BA11</f>
        <v>0</v>
      </c>
      <c r="BB12" s="10">
        <f>BB7+BB8+BB9+BB10+BB11</f>
        <v>0</v>
      </c>
      <c r="BC12" s="10">
        <f>BC7+BC8+BC9+BC10+BC11</f>
        <v>0</v>
      </c>
      <c r="BD12" s="10">
        <f>BD7+BD8+BD9+BD10+BD11</f>
        <v>0</v>
      </c>
      <c r="BE12" s="10">
        <f>BE7+BE8+BE9+BE10+BE11</f>
        <v>0</v>
      </c>
      <c r="BF12" s="10">
        <f>BF7+BF8+BF9+BF10+BF11</f>
        <v>0</v>
      </c>
      <c r="BG12" s="10">
        <f>BG7+BG8+BG9+BG10+BG11</f>
        <v>0</v>
      </c>
      <c r="BH12" s="10">
        <f>BH7+BH8+BH9+BH10+BH11</f>
        <v>0</v>
      </c>
      <c r="BI12" s="10">
        <f>BI7+BI8+BI9+BI10+BI11</f>
        <v>0</v>
      </c>
    </row>
    <row r="13" spans="1:61">
      <c r="A13" s="2" t="s">
        <v>207</v>
      </c>
      <c r="B13" s="19">
        <f>B8+B9+B10+B11</f>
        <v>0</v>
      </c>
      <c r="C13" s="19">
        <f>C8+C9+C10+C11</f>
        <v>0</v>
      </c>
      <c r="D13" s="19">
        <f>D8+D9+D10+D11</f>
        <v>0</v>
      </c>
      <c r="E13" s="19">
        <f>E8+E9+E10+E11</f>
        <v>0</v>
      </c>
      <c r="F13" s="19">
        <f>F8+F9+F10+F11</f>
        <v>0</v>
      </c>
      <c r="G13" s="19">
        <f>G8+G9+G10+G11</f>
        <v>0</v>
      </c>
      <c r="H13" s="19">
        <f>H8+H9+H10+H11</f>
        <v>0</v>
      </c>
      <c r="I13" s="19">
        <f>I8+I9+I10+I11</f>
        <v>0</v>
      </c>
      <c r="J13" s="19">
        <f>J8+J9+J10+J11</f>
        <v>0</v>
      </c>
      <c r="K13" s="19">
        <f>K8+K9+K10+K11</f>
        <v>0</v>
      </c>
      <c r="L13" s="19">
        <f>L8+L9+L10+L11</f>
        <v>0</v>
      </c>
      <c r="M13" s="19">
        <f>M8+M9+M10+M11</f>
        <v>0</v>
      </c>
      <c r="N13" s="19">
        <f>N8+N9+N10+N11</f>
        <v>0</v>
      </c>
      <c r="O13" s="19">
        <f>O8+O9+O10+O11</f>
        <v>0</v>
      </c>
      <c r="P13" s="19">
        <f>P8+P9+P10+P11</f>
        <v>0</v>
      </c>
      <c r="Q13" s="19">
        <f>Q8+Q9+Q10+Q11</f>
        <v>0</v>
      </c>
      <c r="R13" s="19">
        <f>R8+R9+R10+R11</f>
        <v>0</v>
      </c>
      <c r="S13" s="19">
        <f>S8+S9+S10+S11</f>
        <v>0</v>
      </c>
      <c r="T13" s="19">
        <f>T8+T9+T10+T11</f>
        <v>0</v>
      </c>
      <c r="U13" s="19">
        <f>U8+U9+U10+U11</f>
        <v>0</v>
      </c>
      <c r="V13" s="19">
        <f>V8+V9+V10+V11</f>
        <v>0</v>
      </c>
      <c r="W13" s="19">
        <f>W8+W9+W10+W11</f>
        <v>0</v>
      </c>
      <c r="X13" s="19">
        <f>X8+X9+X10+X11</f>
        <v>0</v>
      </c>
      <c r="Y13" s="19">
        <f>Y8+Y9+Y10+Y11</f>
        <v>0</v>
      </c>
      <c r="Z13" s="19">
        <f>Z8+Z9+Z10+Z11</f>
        <v>0</v>
      </c>
      <c r="AA13" s="19">
        <f>AA8+AA9+AA10+AA11</f>
        <v>0</v>
      </c>
      <c r="AB13" s="19">
        <f>AB8+AB9+AB10+AB11</f>
        <v>0</v>
      </c>
      <c r="AC13" s="19">
        <f>AC8+AC9+AC10+AC11</f>
        <v>0</v>
      </c>
      <c r="AD13" s="19">
        <f>AD8+AD9+AD10+AD11</f>
        <v>0</v>
      </c>
      <c r="AE13" s="19">
        <f>AE8+AE9+AE10+AE11</f>
        <v>0</v>
      </c>
      <c r="AF13" s="19">
        <f>AF8+AF9+AF10+AF11</f>
        <v>0</v>
      </c>
      <c r="AG13" s="19">
        <f>AG8+AG9+AG10+AG11</f>
        <v>0</v>
      </c>
      <c r="AH13" s="19">
        <f>AH8+AH9+AH10+AH11</f>
        <v>0</v>
      </c>
      <c r="AI13" s="19">
        <f>AI8+AI9+AI10+AI11</f>
        <v>0</v>
      </c>
      <c r="AJ13" s="19">
        <f>AJ8+AJ9+AJ10+AJ11</f>
        <v>0</v>
      </c>
      <c r="AK13" s="19">
        <f>AK8+AK9+AK10+AK11</f>
        <v>0</v>
      </c>
      <c r="AL13" s="19">
        <f>AL8+AL9+AL10+AL11</f>
        <v>0</v>
      </c>
      <c r="AM13" s="19">
        <f>AM8+AM9+AM10+AM11</f>
        <v>0</v>
      </c>
      <c r="AN13" s="19">
        <f>AN8+AN9+AN10+AN11</f>
        <v>0</v>
      </c>
      <c r="AO13" s="19">
        <f>AO8+AO9+AO10+AO11</f>
        <v>0</v>
      </c>
      <c r="AP13" s="19">
        <f>AP8+AP9+AP10+AP11</f>
        <v>0</v>
      </c>
      <c r="AQ13" s="19">
        <f>AQ8+AQ9+AQ10+AQ11</f>
        <v>0</v>
      </c>
      <c r="AR13" s="19">
        <f>AR8+AR9+AR10+AR11</f>
        <v>0</v>
      </c>
      <c r="AS13" s="19">
        <f>AS8+AS9+AS10+AS11</f>
        <v>0</v>
      </c>
      <c r="AT13" s="19">
        <f>AT8+AT9+AT10+AT11</f>
        <v>0</v>
      </c>
      <c r="AU13" s="19">
        <f>AU8+AU9+AU10+AU11</f>
        <v>0</v>
      </c>
      <c r="AV13" s="19">
        <f>AV8+AV9+AV10+AV11</f>
        <v>0</v>
      </c>
      <c r="AW13" s="19">
        <f>AW8+AW9+AW10+AW11</f>
        <v>0</v>
      </c>
      <c r="AX13" s="19">
        <f>AX8+AX9+AX10+AX11</f>
        <v>0</v>
      </c>
      <c r="AY13" s="19">
        <f>AY8+AY9+AY10+AY11</f>
        <v>0</v>
      </c>
      <c r="AZ13" s="19">
        <f>AZ8+AZ9+AZ10+AZ11</f>
        <v>0</v>
      </c>
      <c r="BA13" s="19">
        <f>BA8+BA9+BA10+BA11</f>
        <v>0</v>
      </c>
      <c r="BB13" s="19">
        <f>BB8+BB9+BB10+BB11</f>
        <v>0</v>
      </c>
      <c r="BC13" s="19">
        <f>BC8+BC9+BC10+BC11</f>
        <v>0</v>
      </c>
      <c r="BD13" s="19">
        <f>BD8+BD9+BD10+BD11</f>
        <v>0</v>
      </c>
      <c r="BE13" s="19">
        <f>BE8+BE9+BE10+BE11</f>
        <v>0</v>
      </c>
      <c r="BF13" s="19">
        <f>BF8+BF9+BF10+BF11</f>
        <v>0</v>
      </c>
      <c r="BG13" s="19">
        <f>BG8+BG9+BG10+BG11</f>
        <v>0</v>
      </c>
      <c r="BH13" s="19">
        <f>BH8+BH9+BH10+BH11</f>
        <v>0</v>
      </c>
      <c r="BI13" s="19">
        <f>BI8+BI9+BI10+BI11</f>
        <v>0</v>
      </c>
    </row>
    <row r="14" spans="1:61">
      <c r="A14" s="2" t="s">
        <v>208</v>
      </c>
      <c r="B14" s="19">
        <f>B12/12</f>
        <v>0</v>
      </c>
      <c r="C14" s="19">
        <f>C12/12</f>
        <v>0</v>
      </c>
      <c r="D14" s="19">
        <f>D12/12</f>
        <v>0</v>
      </c>
      <c r="E14" s="19">
        <f>E12/12</f>
        <v>0</v>
      </c>
      <c r="F14" s="19">
        <f>F12/12</f>
        <v>0</v>
      </c>
      <c r="G14" s="19">
        <f>G12/12</f>
        <v>0</v>
      </c>
      <c r="H14" s="19">
        <f>H12/12</f>
        <v>0</v>
      </c>
      <c r="I14" s="19">
        <f>I12/12</f>
        <v>0</v>
      </c>
      <c r="J14" s="19">
        <f>J12/12</f>
        <v>0</v>
      </c>
      <c r="K14" s="19">
        <f>K12/12</f>
        <v>0</v>
      </c>
      <c r="L14" s="19">
        <f>L12/12</f>
        <v>0</v>
      </c>
      <c r="M14" s="19">
        <f>M12/12</f>
        <v>0</v>
      </c>
      <c r="N14" s="19">
        <f>N12/12</f>
        <v>0</v>
      </c>
      <c r="O14" s="19">
        <f>O12/12</f>
        <v>0</v>
      </c>
      <c r="P14" s="19">
        <f>P12/12</f>
        <v>0</v>
      </c>
      <c r="Q14" s="19">
        <f>Q12/12</f>
        <v>0</v>
      </c>
      <c r="R14" s="19">
        <f>R12/12</f>
        <v>0</v>
      </c>
      <c r="S14" s="19">
        <f>S12/12</f>
        <v>0</v>
      </c>
      <c r="T14" s="19">
        <f>T12/12</f>
        <v>0</v>
      </c>
      <c r="U14" s="19">
        <f>U12/12</f>
        <v>0</v>
      </c>
      <c r="V14" s="19">
        <f>V12/12</f>
        <v>0</v>
      </c>
      <c r="W14" s="19">
        <f>W12/12</f>
        <v>0</v>
      </c>
      <c r="X14" s="19">
        <f>X12/12</f>
        <v>0</v>
      </c>
      <c r="Y14" s="19">
        <f>Y12/12</f>
        <v>0</v>
      </c>
      <c r="Z14" s="19">
        <f>Z12/12</f>
        <v>0</v>
      </c>
      <c r="AA14" s="19">
        <f>AA12/12</f>
        <v>0</v>
      </c>
      <c r="AB14" s="19">
        <f>AB12/12</f>
        <v>0</v>
      </c>
      <c r="AC14" s="19">
        <f>AC12/12</f>
        <v>0</v>
      </c>
      <c r="AD14" s="19">
        <f>AD12/12</f>
        <v>0</v>
      </c>
      <c r="AE14" s="19">
        <f>AE12/12</f>
        <v>0</v>
      </c>
      <c r="AF14" s="19">
        <f>AF12/12</f>
        <v>0</v>
      </c>
      <c r="AG14" s="19">
        <f>AG12/12</f>
        <v>0</v>
      </c>
      <c r="AH14" s="19">
        <f>AH12/12</f>
        <v>0</v>
      </c>
      <c r="AI14" s="19">
        <f>AI12/12</f>
        <v>0</v>
      </c>
      <c r="AJ14" s="19">
        <f>AJ12/12</f>
        <v>0</v>
      </c>
      <c r="AK14" s="19">
        <f>AK12/12</f>
        <v>0</v>
      </c>
      <c r="AL14" s="19">
        <f>AL12/12</f>
        <v>0</v>
      </c>
      <c r="AM14" s="19">
        <f>AM12/12</f>
        <v>0</v>
      </c>
      <c r="AN14" s="19">
        <f>AN12/12</f>
        <v>0</v>
      </c>
      <c r="AO14" s="19">
        <f>AO12/12</f>
        <v>0</v>
      </c>
      <c r="AP14" s="19">
        <f>AP12/12</f>
        <v>0</v>
      </c>
      <c r="AQ14" s="19">
        <f>AQ12/12</f>
        <v>0</v>
      </c>
      <c r="AR14" s="19">
        <f>AR12/12</f>
        <v>0</v>
      </c>
      <c r="AS14" s="19">
        <f>AS12/12</f>
        <v>0</v>
      </c>
      <c r="AT14" s="19">
        <f>AT12/12</f>
        <v>0</v>
      </c>
      <c r="AU14" s="19">
        <f>AU12/12</f>
        <v>0</v>
      </c>
      <c r="AV14" s="19">
        <f>AV12/12</f>
        <v>0</v>
      </c>
      <c r="AW14" s="19">
        <f>AW12/12</f>
        <v>0</v>
      </c>
      <c r="AX14" s="19">
        <f>AX12/12</f>
        <v>0</v>
      </c>
      <c r="AY14" s="19">
        <f>AY12/12</f>
        <v>0</v>
      </c>
      <c r="AZ14" s="19">
        <f>AZ12/12</f>
        <v>0</v>
      </c>
      <c r="BA14" s="19">
        <f>BA12/12</f>
        <v>0</v>
      </c>
      <c r="BB14" s="19">
        <f>BB12/12</f>
        <v>0</v>
      </c>
      <c r="BC14" s="19">
        <f>BC12/12</f>
        <v>0</v>
      </c>
      <c r="BD14" s="19">
        <f>BD12/12</f>
        <v>0</v>
      </c>
      <c r="BE14" s="19">
        <f>BE12/12</f>
        <v>0</v>
      </c>
      <c r="BF14" s="19">
        <f>BF12/12</f>
        <v>0</v>
      </c>
      <c r="BG14" s="19">
        <f>BG12/12</f>
        <v>0</v>
      </c>
      <c r="BH14" s="19">
        <f>BH12/12</f>
        <v>0</v>
      </c>
      <c r="BI14" s="19">
        <f>BI12/12</f>
        <v>0</v>
      </c>
    </row>
    <row r="16" spans="1:61">
      <c r="A16" s="4" t="s">
        <v>209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">
      <c r="A17" s="16" t="s">
        <v>210</v>
      </c>
      <c r="B17" s="16" t="s">
        <v>211</v>
      </c>
      <c r="C17" s="16" t="s">
        <v>212</v>
      </c>
      <c r="D17" s="16" t="s">
        <v>213</v>
      </c>
      <c r="E17" s="16" t="s">
        <v>214</v>
      </c>
      <c r="F17" s="16" t="s">
        <v>215</v>
      </c>
    </row>
    <row r="18" spans="1:6">
      <c r="A18" s="2" t="s">
        <v>206</v>
      </c>
      <c r="B18" s="19">
        <f>M12</f>
        <v>0</v>
      </c>
      <c r="C18" s="19">
        <f>Y12</f>
        <v>0</v>
      </c>
      <c r="D18" s="19">
        <f>AK12</f>
        <v>0</v>
      </c>
      <c r="E18" s="19">
        <f>AW12</f>
        <v>0</v>
      </c>
      <c r="F18" s="19">
        <f>BI12</f>
        <v>0</v>
      </c>
    </row>
    <row r="19" spans="1:6">
      <c r="A19" s="2" t="s">
        <v>216</v>
      </c>
      <c r="B19" s="13"/>
      <c r="C19" s="13">
        <f>Y12/M12-1</f>
        <v>0</v>
      </c>
      <c r="D19" s="13">
        <f>AK12/Y12-1</f>
        <v>0</v>
      </c>
      <c r="E19" s="13">
        <f>AW12/AK12-1</f>
        <v>0</v>
      </c>
      <c r="F19" s="13">
        <f>BI12/AW12-1</f>
        <v>0</v>
      </c>
    </row>
  </sheetData>
  <mergeCells count="2">
    <mergeCell ref="A1:BI1"/>
    <mergeCell ref="A16:B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0"/>
  <sheetViews>
    <sheetView workbookViewId="0"/>
  </sheetViews>
  <sheetFormatPr defaultRowHeight="15"/>
  <cols>
    <col min="1" max="1" width="26.7109375" customWidth="1"/>
    <col min="2" max="60" width="11.7109375" customWidth="1"/>
  </cols>
  <sheetData>
    <row r="1" spans="1:61" ht="28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spans="1:61">
      <c r="A3" s="16" t="s">
        <v>137</v>
      </c>
      <c r="B3" s="16" t="s">
        <v>138</v>
      </c>
      <c r="C3" s="16" t="s">
        <v>139</v>
      </c>
      <c r="D3" s="16" t="s">
        <v>140</v>
      </c>
      <c r="E3" s="16" t="s">
        <v>141</v>
      </c>
      <c r="F3" s="16" t="s">
        <v>142</v>
      </c>
      <c r="G3" s="16" t="s">
        <v>143</v>
      </c>
      <c r="H3" s="16" t="s">
        <v>144</v>
      </c>
      <c r="I3" s="16" t="s">
        <v>145</v>
      </c>
      <c r="J3" s="16" t="s">
        <v>146</v>
      </c>
      <c r="K3" s="16" t="s">
        <v>147</v>
      </c>
      <c r="L3" s="16" t="s">
        <v>148</v>
      </c>
      <c r="M3" s="16" t="s">
        <v>149</v>
      </c>
      <c r="N3" s="16" t="s">
        <v>150</v>
      </c>
      <c r="O3" s="16" t="s">
        <v>151</v>
      </c>
      <c r="P3" s="16" t="s">
        <v>152</v>
      </c>
      <c r="Q3" s="16" t="s">
        <v>153</v>
      </c>
      <c r="R3" s="16" t="s">
        <v>154</v>
      </c>
      <c r="S3" s="16" t="s">
        <v>155</v>
      </c>
      <c r="T3" s="16" t="s">
        <v>156</v>
      </c>
      <c r="U3" s="16" t="s">
        <v>157</v>
      </c>
      <c r="V3" s="16" t="s">
        <v>158</v>
      </c>
      <c r="W3" s="16" t="s">
        <v>159</v>
      </c>
      <c r="X3" s="16" t="s">
        <v>160</v>
      </c>
      <c r="Y3" s="16" t="s">
        <v>161</v>
      </c>
      <c r="Z3" s="16" t="s">
        <v>162</v>
      </c>
      <c r="AA3" s="16" t="s">
        <v>163</v>
      </c>
      <c r="AB3" s="16" t="s">
        <v>164</v>
      </c>
      <c r="AC3" s="16" t="s">
        <v>165</v>
      </c>
      <c r="AD3" s="16" t="s">
        <v>166</v>
      </c>
      <c r="AE3" s="16" t="s">
        <v>167</v>
      </c>
      <c r="AF3" s="16" t="s">
        <v>168</v>
      </c>
      <c r="AG3" s="16" t="s">
        <v>169</v>
      </c>
      <c r="AH3" s="16" t="s">
        <v>170</v>
      </c>
      <c r="AI3" s="16" t="s">
        <v>171</v>
      </c>
      <c r="AJ3" s="16" t="s">
        <v>172</v>
      </c>
      <c r="AK3" s="16" t="s">
        <v>173</v>
      </c>
      <c r="AL3" s="16" t="s">
        <v>174</v>
      </c>
      <c r="AM3" s="16" t="s">
        <v>175</v>
      </c>
      <c r="AN3" s="16" t="s">
        <v>176</v>
      </c>
      <c r="AO3" s="16" t="s">
        <v>177</v>
      </c>
      <c r="AP3" s="16" t="s">
        <v>178</v>
      </c>
      <c r="AQ3" s="16" t="s">
        <v>179</v>
      </c>
      <c r="AR3" s="16" t="s">
        <v>180</v>
      </c>
      <c r="AS3" s="16" t="s">
        <v>181</v>
      </c>
      <c r="AT3" s="16" t="s">
        <v>182</v>
      </c>
      <c r="AU3" s="16" t="s">
        <v>183</v>
      </c>
      <c r="AV3" s="16" t="s">
        <v>184</v>
      </c>
      <c r="AW3" s="16" t="s">
        <v>185</v>
      </c>
      <c r="AX3" s="16" t="s">
        <v>186</v>
      </c>
      <c r="AY3" s="16" t="s">
        <v>187</v>
      </c>
      <c r="AZ3" s="16" t="s">
        <v>188</v>
      </c>
      <c r="BA3" s="16" t="s">
        <v>189</v>
      </c>
      <c r="BB3" s="16" t="s">
        <v>190</v>
      </c>
      <c r="BC3" s="16" t="s">
        <v>191</v>
      </c>
      <c r="BD3" s="16" t="s">
        <v>192</v>
      </c>
      <c r="BE3" s="16" t="s">
        <v>193</v>
      </c>
      <c r="BF3" s="16" t="s">
        <v>194</v>
      </c>
      <c r="BG3" s="16" t="s">
        <v>195</v>
      </c>
      <c r="BH3" s="16" t="s">
        <v>196</v>
      </c>
      <c r="BI3" s="16" t="s">
        <v>197</v>
      </c>
    </row>
    <row r="4" spans="1:61">
      <c r="A4" s="2" t="s">
        <v>218</v>
      </c>
      <c r="B4" s="19">
        <f>'ARR-Waterfall'!B6*Inputs!$B$14*Inputs!$B$11</f>
        <v>0</v>
      </c>
      <c r="C4" s="19">
        <f>'ARR-Waterfall'!C6*Inputs!$B$14*Inputs!$B$11</f>
        <v>0</v>
      </c>
      <c r="D4" s="19">
        <f>'ARR-Waterfall'!D6*Inputs!$B$14*Inputs!$B$11</f>
        <v>0</v>
      </c>
      <c r="E4" s="19">
        <f>'ARR-Waterfall'!E6*Inputs!$B$14*Inputs!$B$11</f>
        <v>0</v>
      </c>
      <c r="F4" s="19">
        <f>'ARR-Waterfall'!F6*Inputs!$B$14*Inputs!$B$11</f>
        <v>0</v>
      </c>
      <c r="G4" s="19">
        <f>'ARR-Waterfall'!G6*Inputs!$B$14*Inputs!$B$11</f>
        <v>0</v>
      </c>
      <c r="H4" s="19">
        <f>'ARR-Waterfall'!H6*Inputs!$B$14*Inputs!$B$11</f>
        <v>0</v>
      </c>
      <c r="I4" s="19">
        <f>'ARR-Waterfall'!I6*Inputs!$B$14*Inputs!$B$11</f>
        <v>0</v>
      </c>
      <c r="J4" s="19">
        <f>'ARR-Waterfall'!J6*Inputs!$B$14*Inputs!$B$11</f>
        <v>0</v>
      </c>
      <c r="K4" s="19">
        <f>'ARR-Waterfall'!K6*Inputs!$B$14*Inputs!$B$11</f>
        <v>0</v>
      </c>
      <c r="L4" s="19">
        <f>'ARR-Waterfall'!L6*Inputs!$B$14*Inputs!$B$11</f>
        <v>0</v>
      </c>
      <c r="M4" s="19">
        <f>'ARR-Waterfall'!M6*Inputs!$B$14*Inputs!$B$11</f>
        <v>0</v>
      </c>
      <c r="N4" s="19">
        <f>'ARR-Waterfall'!N6*Inputs!$B$14*Inputs!$B$11</f>
        <v>0</v>
      </c>
      <c r="O4" s="19">
        <f>'ARR-Waterfall'!O6*Inputs!$B$14*Inputs!$B$11</f>
        <v>0</v>
      </c>
      <c r="P4" s="19">
        <f>'ARR-Waterfall'!P6*Inputs!$B$14*Inputs!$B$11</f>
        <v>0</v>
      </c>
      <c r="Q4" s="19">
        <f>'ARR-Waterfall'!Q6*Inputs!$B$14*Inputs!$B$11</f>
        <v>0</v>
      </c>
      <c r="R4" s="19">
        <f>'ARR-Waterfall'!R6*Inputs!$B$14*Inputs!$B$11</f>
        <v>0</v>
      </c>
      <c r="S4" s="19">
        <f>'ARR-Waterfall'!S6*Inputs!$B$14*Inputs!$B$11</f>
        <v>0</v>
      </c>
      <c r="T4" s="19">
        <f>'ARR-Waterfall'!T6*Inputs!$B$14*Inputs!$B$11</f>
        <v>0</v>
      </c>
      <c r="U4" s="19">
        <f>'ARR-Waterfall'!U6*Inputs!$B$14*Inputs!$B$11</f>
        <v>0</v>
      </c>
      <c r="V4" s="19">
        <f>'ARR-Waterfall'!V6*Inputs!$B$14*Inputs!$B$11</f>
        <v>0</v>
      </c>
      <c r="W4" s="19">
        <f>'ARR-Waterfall'!W6*Inputs!$B$14*Inputs!$B$11</f>
        <v>0</v>
      </c>
      <c r="X4" s="19">
        <f>'ARR-Waterfall'!X6*Inputs!$B$14*Inputs!$B$11</f>
        <v>0</v>
      </c>
      <c r="Y4" s="19">
        <f>'ARR-Waterfall'!Y6*Inputs!$B$14*Inputs!$B$11</f>
        <v>0</v>
      </c>
      <c r="Z4" s="19">
        <f>'ARR-Waterfall'!Z6*Inputs!$B$14*Inputs!$B$11</f>
        <v>0</v>
      </c>
      <c r="AA4" s="19">
        <f>'ARR-Waterfall'!AA6*Inputs!$B$14*Inputs!$B$11</f>
        <v>0</v>
      </c>
      <c r="AB4" s="19">
        <f>'ARR-Waterfall'!AB6*Inputs!$B$14*Inputs!$B$11</f>
        <v>0</v>
      </c>
      <c r="AC4" s="19">
        <f>'ARR-Waterfall'!AC6*Inputs!$B$14*Inputs!$B$11</f>
        <v>0</v>
      </c>
      <c r="AD4" s="19">
        <f>'ARR-Waterfall'!AD6*Inputs!$B$14*Inputs!$B$11</f>
        <v>0</v>
      </c>
      <c r="AE4" s="19">
        <f>'ARR-Waterfall'!AE6*Inputs!$B$14*Inputs!$B$11</f>
        <v>0</v>
      </c>
      <c r="AF4" s="19">
        <f>'ARR-Waterfall'!AF6*Inputs!$B$14*Inputs!$B$11</f>
        <v>0</v>
      </c>
      <c r="AG4" s="19">
        <f>'ARR-Waterfall'!AG6*Inputs!$B$14*Inputs!$B$11</f>
        <v>0</v>
      </c>
      <c r="AH4" s="19">
        <f>'ARR-Waterfall'!AH6*Inputs!$B$14*Inputs!$B$11</f>
        <v>0</v>
      </c>
      <c r="AI4" s="19">
        <f>'ARR-Waterfall'!AI6*Inputs!$B$14*Inputs!$B$11</f>
        <v>0</v>
      </c>
      <c r="AJ4" s="19">
        <f>'ARR-Waterfall'!AJ6*Inputs!$B$14*Inputs!$B$11</f>
        <v>0</v>
      </c>
      <c r="AK4" s="19">
        <f>'ARR-Waterfall'!AK6*Inputs!$B$14*Inputs!$B$11</f>
        <v>0</v>
      </c>
      <c r="AL4" s="19">
        <f>'ARR-Waterfall'!AL6*Inputs!$B$14*Inputs!$B$11</f>
        <v>0</v>
      </c>
      <c r="AM4" s="19">
        <f>'ARR-Waterfall'!AM6*Inputs!$B$14*Inputs!$B$11</f>
        <v>0</v>
      </c>
      <c r="AN4" s="19">
        <f>'ARR-Waterfall'!AN6*Inputs!$B$14*Inputs!$B$11</f>
        <v>0</v>
      </c>
      <c r="AO4" s="19">
        <f>'ARR-Waterfall'!AO6*Inputs!$B$14*Inputs!$B$11</f>
        <v>0</v>
      </c>
      <c r="AP4" s="19">
        <f>'ARR-Waterfall'!AP6*Inputs!$B$14*Inputs!$B$11</f>
        <v>0</v>
      </c>
      <c r="AQ4" s="19">
        <f>'ARR-Waterfall'!AQ6*Inputs!$B$14*Inputs!$B$11</f>
        <v>0</v>
      </c>
      <c r="AR4" s="19">
        <f>'ARR-Waterfall'!AR6*Inputs!$B$14*Inputs!$B$11</f>
        <v>0</v>
      </c>
      <c r="AS4" s="19">
        <f>'ARR-Waterfall'!AS6*Inputs!$B$14*Inputs!$B$11</f>
        <v>0</v>
      </c>
      <c r="AT4" s="19">
        <f>'ARR-Waterfall'!AT6*Inputs!$B$14*Inputs!$B$11</f>
        <v>0</v>
      </c>
      <c r="AU4" s="19">
        <f>'ARR-Waterfall'!AU6*Inputs!$B$14*Inputs!$B$11</f>
        <v>0</v>
      </c>
      <c r="AV4" s="19">
        <f>'ARR-Waterfall'!AV6*Inputs!$B$14*Inputs!$B$11</f>
        <v>0</v>
      </c>
      <c r="AW4" s="19">
        <f>'ARR-Waterfall'!AW6*Inputs!$B$14*Inputs!$B$11</f>
        <v>0</v>
      </c>
      <c r="AX4" s="19">
        <f>'ARR-Waterfall'!AX6*Inputs!$B$14*Inputs!$B$11</f>
        <v>0</v>
      </c>
      <c r="AY4" s="19">
        <f>'ARR-Waterfall'!AY6*Inputs!$B$14*Inputs!$B$11</f>
        <v>0</v>
      </c>
      <c r="AZ4" s="19">
        <f>'ARR-Waterfall'!AZ6*Inputs!$B$14*Inputs!$B$11</f>
        <v>0</v>
      </c>
      <c r="BA4" s="19">
        <f>'ARR-Waterfall'!BA6*Inputs!$B$14*Inputs!$B$11</f>
        <v>0</v>
      </c>
      <c r="BB4" s="19">
        <f>'ARR-Waterfall'!BB6*Inputs!$B$14*Inputs!$B$11</f>
        <v>0</v>
      </c>
      <c r="BC4" s="19">
        <f>'ARR-Waterfall'!BC6*Inputs!$B$14*Inputs!$B$11</f>
        <v>0</v>
      </c>
      <c r="BD4" s="19">
        <f>'ARR-Waterfall'!BD6*Inputs!$B$14*Inputs!$B$11</f>
        <v>0</v>
      </c>
      <c r="BE4" s="19">
        <f>'ARR-Waterfall'!BE6*Inputs!$B$14*Inputs!$B$11</f>
        <v>0</v>
      </c>
      <c r="BF4" s="19">
        <f>'ARR-Waterfall'!BF6*Inputs!$B$14*Inputs!$B$11</f>
        <v>0</v>
      </c>
      <c r="BG4" s="19">
        <f>'ARR-Waterfall'!BG6*Inputs!$B$14*Inputs!$B$11</f>
        <v>0</v>
      </c>
      <c r="BH4" s="19">
        <f>'ARR-Waterfall'!BH6*Inputs!$B$14*Inputs!$B$11</f>
        <v>0</v>
      </c>
      <c r="BI4" s="19">
        <f>'ARR-Waterfall'!BI6*Inputs!$B$14*Inputs!$B$11</f>
        <v>0</v>
      </c>
    </row>
    <row r="5" spans="1:61">
      <c r="A5" s="2" t="s">
        <v>219</v>
      </c>
      <c r="B5" s="19">
        <f>'ARR-Waterfall'!B6*Inputs!$B$15*Inputs!$B$12</f>
        <v>0</v>
      </c>
      <c r="C5" s="19">
        <f>'ARR-Waterfall'!C6*Inputs!$B$15*Inputs!$B$12</f>
        <v>0</v>
      </c>
      <c r="D5" s="19">
        <f>'ARR-Waterfall'!D6*Inputs!$B$15*Inputs!$B$12</f>
        <v>0</v>
      </c>
      <c r="E5" s="19">
        <f>'ARR-Waterfall'!E6*Inputs!$B$15*Inputs!$B$12</f>
        <v>0</v>
      </c>
      <c r="F5" s="19">
        <f>'ARR-Waterfall'!F6*Inputs!$B$15*Inputs!$B$12</f>
        <v>0</v>
      </c>
      <c r="G5" s="19">
        <f>'ARR-Waterfall'!G6*Inputs!$B$15*Inputs!$B$12</f>
        <v>0</v>
      </c>
      <c r="H5" s="19">
        <f>'ARR-Waterfall'!H6*Inputs!$B$15*Inputs!$B$12</f>
        <v>0</v>
      </c>
      <c r="I5" s="19">
        <f>'ARR-Waterfall'!I6*Inputs!$B$15*Inputs!$B$12</f>
        <v>0</v>
      </c>
      <c r="J5" s="19">
        <f>'ARR-Waterfall'!J6*Inputs!$B$15*Inputs!$B$12</f>
        <v>0</v>
      </c>
      <c r="K5" s="19">
        <f>'ARR-Waterfall'!K6*Inputs!$B$15*Inputs!$B$12</f>
        <v>0</v>
      </c>
      <c r="L5" s="19">
        <f>'ARR-Waterfall'!L6*Inputs!$B$15*Inputs!$B$12</f>
        <v>0</v>
      </c>
      <c r="M5" s="19">
        <f>'ARR-Waterfall'!M6*Inputs!$B$15*Inputs!$B$12</f>
        <v>0</v>
      </c>
      <c r="N5" s="19">
        <f>'ARR-Waterfall'!N6*Inputs!$B$15*Inputs!$B$12</f>
        <v>0</v>
      </c>
      <c r="O5" s="19">
        <f>'ARR-Waterfall'!O6*Inputs!$B$15*Inputs!$B$12</f>
        <v>0</v>
      </c>
      <c r="P5" s="19">
        <f>'ARR-Waterfall'!P6*Inputs!$B$15*Inputs!$B$12</f>
        <v>0</v>
      </c>
      <c r="Q5" s="19">
        <f>'ARR-Waterfall'!Q6*Inputs!$B$15*Inputs!$B$12</f>
        <v>0</v>
      </c>
      <c r="R5" s="19">
        <f>'ARR-Waterfall'!R6*Inputs!$B$15*Inputs!$B$12</f>
        <v>0</v>
      </c>
      <c r="S5" s="19">
        <f>'ARR-Waterfall'!S6*Inputs!$B$15*Inputs!$B$12</f>
        <v>0</v>
      </c>
      <c r="T5" s="19">
        <f>'ARR-Waterfall'!T6*Inputs!$B$15*Inputs!$B$12</f>
        <v>0</v>
      </c>
      <c r="U5" s="19">
        <f>'ARR-Waterfall'!U6*Inputs!$B$15*Inputs!$B$12</f>
        <v>0</v>
      </c>
      <c r="V5" s="19">
        <f>'ARR-Waterfall'!V6*Inputs!$B$15*Inputs!$B$12</f>
        <v>0</v>
      </c>
      <c r="W5" s="19">
        <f>'ARR-Waterfall'!W6*Inputs!$B$15*Inputs!$B$12</f>
        <v>0</v>
      </c>
      <c r="X5" s="19">
        <f>'ARR-Waterfall'!X6*Inputs!$B$15*Inputs!$B$12</f>
        <v>0</v>
      </c>
      <c r="Y5" s="19">
        <f>'ARR-Waterfall'!Y6*Inputs!$B$15*Inputs!$B$12</f>
        <v>0</v>
      </c>
      <c r="Z5" s="19">
        <f>'ARR-Waterfall'!Z6*Inputs!$B$15*Inputs!$B$12</f>
        <v>0</v>
      </c>
      <c r="AA5" s="19">
        <f>'ARR-Waterfall'!AA6*Inputs!$B$15*Inputs!$B$12</f>
        <v>0</v>
      </c>
      <c r="AB5" s="19">
        <f>'ARR-Waterfall'!AB6*Inputs!$B$15*Inputs!$B$12</f>
        <v>0</v>
      </c>
      <c r="AC5" s="19">
        <f>'ARR-Waterfall'!AC6*Inputs!$B$15*Inputs!$B$12</f>
        <v>0</v>
      </c>
      <c r="AD5" s="19">
        <f>'ARR-Waterfall'!AD6*Inputs!$B$15*Inputs!$B$12</f>
        <v>0</v>
      </c>
      <c r="AE5" s="19">
        <f>'ARR-Waterfall'!AE6*Inputs!$B$15*Inputs!$B$12</f>
        <v>0</v>
      </c>
      <c r="AF5" s="19">
        <f>'ARR-Waterfall'!AF6*Inputs!$B$15*Inputs!$B$12</f>
        <v>0</v>
      </c>
      <c r="AG5" s="19">
        <f>'ARR-Waterfall'!AG6*Inputs!$B$15*Inputs!$B$12</f>
        <v>0</v>
      </c>
      <c r="AH5" s="19">
        <f>'ARR-Waterfall'!AH6*Inputs!$B$15*Inputs!$B$12</f>
        <v>0</v>
      </c>
      <c r="AI5" s="19">
        <f>'ARR-Waterfall'!AI6*Inputs!$B$15*Inputs!$B$12</f>
        <v>0</v>
      </c>
      <c r="AJ5" s="19">
        <f>'ARR-Waterfall'!AJ6*Inputs!$B$15*Inputs!$B$12</f>
        <v>0</v>
      </c>
      <c r="AK5" s="19">
        <f>'ARR-Waterfall'!AK6*Inputs!$B$15*Inputs!$B$12</f>
        <v>0</v>
      </c>
      <c r="AL5" s="19">
        <f>'ARR-Waterfall'!AL6*Inputs!$B$15*Inputs!$B$12</f>
        <v>0</v>
      </c>
      <c r="AM5" s="19">
        <f>'ARR-Waterfall'!AM6*Inputs!$B$15*Inputs!$B$12</f>
        <v>0</v>
      </c>
      <c r="AN5" s="19">
        <f>'ARR-Waterfall'!AN6*Inputs!$B$15*Inputs!$B$12</f>
        <v>0</v>
      </c>
      <c r="AO5" s="19">
        <f>'ARR-Waterfall'!AO6*Inputs!$B$15*Inputs!$B$12</f>
        <v>0</v>
      </c>
      <c r="AP5" s="19">
        <f>'ARR-Waterfall'!AP6*Inputs!$B$15*Inputs!$B$12</f>
        <v>0</v>
      </c>
      <c r="AQ5" s="19">
        <f>'ARR-Waterfall'!AQ6*Inputs!$B$15*Inputs!$B$12</f>
        <v>0</v>
      </c>
      <c r="AR5" s="19">
        <f>'ARR-Waterfall'!AR6*Inputs!$B$15*Inputs!$B$12</f>
        <v>0</v>
      </c>
      <c r="AS5" s="19">
        <f>'ARR-Waterfall'!AS6*Inputs!$B$15*Inputs!$B$12</f>
        <v>0</v>
      </c>
      <c r="AT5" s="19">
        <f>'ARR-Waterfall'!AT6*Inputs!$B$15*Inputs!$B$12</f>
        <v>0</v>
      </c>
      <c r="AU5" s="19">
        <f>'ARR-Waterfall'!AU6*Inputs!$B$15*Inputs!$B$12</f>
        <v>0</v>
      </c>
      <c r="AV5" s="19">
        <f>'ARR-Waterfall'!AV6*Inputs!$B$15*Inputs!$B$12</f>
        <v>0</v>
      </c>
      <c r="AW5" s="19">
        <f>'ARR-Waterfall'!AW6*Inputs!$B$15*Inputs!$B$12</f>
        <v>0</v>
      </c>
      <c r="AX5" s="19">
        <f>'ARR-Waterfall'!AX6*Inputs!$B$15*Inputs!$B$12</f>
        <v>0</v>
      </c>
      <c r="AY5" s="19">
        <f>'ARR-Waterfall'!AY6*Inputs!$B$15*Inputs!$B$12</f>
        <v>0</v>
      </c>
      <c r="AZ5" s="19">
        <f>'ARR-Waterfall'!AZ6*Inputs!$B$15*Inputs!$B$12</f>
        <v>0</v>
      </c>
      <c r="BA5" s="19">
        <f>'ARR-Waterfall'!BA6*Inputs!$B$15*Inputs!$B$12</f>
        <v>0</v>
      </c>
      <c r="BB5" s="19">
        <f>'ARR-Waterfall'!BB6*Inputs!$B$15*Inputs!$B$12</f>
        <v>0</v>
      </c>
      <c r="BC5" s="19">
        <f>'ARR-Waterfall'!BC6*Inputs!$B$15*Inputs!$B$12</f>
        <v>0</v>
      </c>
      <c r="BD5" s="19">
        <f>'ARR-Waterfall'!BD6*Inputs!$B$15*Inputs!$B$12</f>
        <v>0</v>
      </c>
      <c r="BE5" s="19">
        <f>'ARR-Waterfall'!BE6*Inputs!$B$15*Inputs!$B$12</f>
        <v>0</v>
      </c>
      <c r="BF5" s="19">
        <f>'ARR-Waterfall'!BF6*Inputs!$B$15*Inputs!$B$12</f>
        <v>0</v>
      </c>
      <c r="BG5" s="19">
        <f>'ARR-Waterfall'!BG6*Inputs!$B$15*Inputs!$B$12</f>
        <v>0</v>
      </c>
      <c r="BH5" s="19">
        <f>'ARR-Waterfall'!BH6*Inputs!$B$15*Inputs!$B$12</f>
        <v>0</v>
      </c>
      <c r="BI5" s="19">
        <f>'ARR-Waterfall'!BI6*Inputs!$B$15*Inputs!$B$12</f>
        <v>0</v>
      </c>
    </row>
    <row r="6" spans="1:61">
      <c r="A6" s="2" t="s">
        <v>220</v>
      </c>
      <c r="B6" s="19">
        <f>'ARR-Waterfall'!B6*Inputs!$B$16*Inputs!$B$13</f>
        <v>0</v>
      </c>
      <c r="C6" s="19">
        <f>'ARR-Waterfall'!C6*Inputs!$B$16*Inputs!$B$13</f>
        <v>0</v>
      </c>
      <c r="D6" s="19">
        <f>'ARR-Waterfall'!D6*Inputs!$B$16*Inputs!$B$13</f>
        <v>0</v>
      </c>
      <c r="E6" s="19">
        <f>'ARR-Waterfall'!E6*Inputs!$B$16*Inputs!$B$13</f>
        <v>0</v>
      </c>
      <c r="F6" s="19">
        <f>'ARR-Waterfall'!F6*Inputs!$B$16*Inputs!$B$13</f>
        <v>0</v>
      </c>
      <c r="G6" s="19">
        <f>'ARR-Waterfall'!G6*Inputs!$B$16*Inputs!$B$13</f>
        <v>0</v>
      </c>
      <c r="H6" s="19">
        <f>'ARR-Waterfall'!H6*Inputs!$B$16*Inputs!$B$13</f>
        <v>0</v>
      </c>
      <c r="I6" s="19">
        <f>'ARR-Waterfall'!I6*Inputs!$B$16*Inputs!$B$13</f>
        <v>0</v>
      </c>
      <c r="J6" s="19">
        <f>'ARR-Waterfall'!J6*Inputs!$B$16*Inputs!$B$13</f>
        <v>0</v>
      </c>
      <c r="K6" s="19">
        <f>'ARR-Waterfall'!K6*Inputs!$B$16*Inputs!$B$13</f>
        <v>0</v>
      </c>
      <c r="L6" s="19">
        <f>'ARR-Waterfall'!L6*Inputs!$B$16*Inputs!$B$13</f>
        <v>0</v>
      </c>
      <c r="M6" s="19">
        <f>'ARR-Waterfall'!M6*Inputs!$B$16*Inputs!$B$13</f>
        <v>0</v>
      </c>
      <c r="N6" s="19">
        <f>'ARR-Waterfall'!N6*Inputs!$B$16*Inputs!$B$13</f>
        <v>0</v>
      </c>
      <c r="O6" s="19">
        <f>'ARR-Waterfall'!O6*Inputs!$B$16*Inputs!$B$13</f>
        <v>0</v>
      </c>
      <c r="P6" s="19">
        <f>'ARR-Waterfall'!P6*Inputs!$B$16*Inputs!$B$13</f>
        <v>0</v>
      </c>
      <c r="Q6" s="19">
        <f>'ARR-Waterfall'!Q6*Inputs!$B$16*Inputs!$B$13</f>
        <v>0</v>
      </c>
      <c r="R6" s="19">
        <f>'ARR-Waterfall'!R6*Inputs!$B$16*Inputs!$B$13</f>
        <v>0</v>
      </c>
      <c r="S6" s="19">
        <f>'ARR-Waterfall'!S6*Inputs!$B$16*Inputs!$B$13</f>
        <v>0</v>
      </c>
      <c r="T6" s="19">
        <f>'ARR-Waterfall'!T6*Inputs!$B$16*Inputs!$B$13</f>
        <v>0</v>
      </c>
      <c r="U6" s="19">
        <f>'ARR-Waterfall'!U6*Inputs!$B$16*Inputs!$B$13</f>
        <v>0</v>
      </c>
      <c r="V6" s="19">
        <f>'ARR-Waterfall'!V6*Inputs!$B$16*Inputs!$B$13</f>
        <v>0</v>
      </c>
      <c r="W6" s="19">
        <f>'ARR-Waterfall'!W6*Inputs!$B$16*Inputs!$B$13</f>
        <v>0</v>
      </c>
      <c r="X6" s="19">
        <f>'ARR-Waterfall'!X6*Inputs!$B$16*Inputs!$B$13</f>
        <v>0</v>
      </c>
      <c r="Y6" s="19">
        <f>'ARR-Waterfall'!Y6*Inputs!$B$16*Inputs!$B$13</f>
        <v>0</v>
      </c>
      <c r="Z6" s="19">
        <f>'ARR-Waterfall'!Z6*Inputs!$B$16*Inputs!$B$13</f>
        <v>0</v>
      </c>
      <c r="AA6" s="19">
        <f>'ARR-Waterfall'!AA6*Inputs!$B$16*Inputs!$B$13</f>
        <v>0</v>
      </c>
      <c r="AB6" s="19">
        <f>'ARR-Waterfall'!AB6*Inputs!$B$16*Inputs!$B$13</f>
        <v>0</v>
      </c>
      <c r="AC6" s="19">
        <f>'ARR-Waterfall'!AC6*Inputs!$B$16*Inputs!$B$13</f>
        <v>0</v>
      </c>
      <c r="AD6" s="19">
        <f>'ARR-Waterfall'!AD6*Inputs!$B$16*Inputs!$B$13</f>
        <v>0</v>
      </c>
      <c r="AE6" s="19">
        <f>'ARR-Waterfall'!AE6*Inputs!$B$16*Inputs!$B$13</f>
        <v>0</v>
      </c>
      <c r="AF6" s="19">
        <f>'ARR-Waterfall'!AF6*Inputs!$B$16*Inputs!$B$13</f>
        <v>0</v>
      </c>
      <c r="AG6" s="19">
        <f>'ARR-Waterfall'!AG6*Inputs!$B$16*Inputs!$B$13</f>
        <v>0</v>
      </c>
      <c r="AH6" s="19">
        <f>'ARR-Waterfall'!AH6*Inputs!$B$16*Inputs!$B$13</f>
        <v>0</v>
      </c>
      <c r="AI6" s="19">
        <f>'ARR-Waterfall'!AI6*Inputs!$B$16*Inputs!$B$13</f>
        <v>0</v>
      </c>
      <c r="AJ6" s="19">
        <f>'ARR-Waterfall'!AJ6*Inputs!$B$16*Inputs!$B$13</f>
        <v>0</v>
      </c>
      <c r="AK6" s="19">
        <f>'ARR-Waterfall'!AK6*Inputs!$B$16*Inputs!$B$13</f>
        <v>0</v>
      </c>
      <c r="AL6" s="19">
        <f>'ARR-Waterfall'!AL6*Inputs!$B$16*Inputs!$B$13</f>
        <v>0</v>
      </c>
      <c r="AM6" s="19">
        <f>'ARR-Waterfall'!AM6*Inputs!$B$16*Inputs!$B$13</f>
        <v>0</v>
      </c>
      <c r="AN6" s="19">
        <f>'ARR-Waterfall'!AN6*Inputs!$B$16*Inputs!$B$13</f>
        <v>0</v>
      </c>
      <c r="AO6" s="19">
        <f>'ARR-Waterfall'!AO6*Inputs!$B$16*Inputs!$B$13</f>
        <v>0</v>
      </c>
      <c r="AP6" s="19">
        <f>'ARR-Waterfall'!AP6*Inputs!$B$16*Inputs!$B$13</f>
        <v>0</v>
      </c>
      <c r="AQ6" s="19">
        <f>'ARR-Waterfall'!AQ6*Inputs!$B$16*Inputs!$B$13</f>
        <v>0</v>
      </c>
      <c r="AR6" s="19">
        <f>'ARR-Waterfall'!AR6*Inputs!$B$16*Inputs!$B$13</f>
        <v>0</v>
      </c>
      <c r="AS6" s="19">
        <f>'ARR-Waterfall'!AS6*Inputs!$B$16*Inputs!$B$13</f>
        <v>0</v>
      </c>
      <c r="AT6" s="19">
        <f>'ARR-Waterfall'!AT6*Inputs!$B$16*Inputs!$B$13</f>
        <v>0</v>
      </c>
      <c r="AU6" s="19">
        <f>'ARR-Waterfall'!AU6*Inputs!$B$16*Inputs!$B$13</f>
        <v>0</v>
      </c>
      <c r="AV6" s="19">
        <f>'ARR-Waterfall'!AV6*Inputs!$B$16*Inputs!$B$13</f>
        <v>0</v>
      </c>
      <c r="AW6" s="19">
        <f>'ARR-Waterfall'!AW6*Inputs!$B$16*Inputs!$B$13</f>
        <v>0</v>
      </c>
      <c r="AX6" s="19">
        <f>'ARR-Waterfall'!AX6*Inputs!$B$16*Inputs!$B$13</f>
        <v>0</v>
      </c>
      <c r="AY6" s="19">
        <f>'ARR-Waterfall'!AY6*Inputs!$B$16*Inputs!$B$13</f>
        <v>0</v>
      </c>
      <c r="AZ6" s="19">
        <f>'ARR-Waterfall'!AZ6*Inputs!$B$16*Inputs!$B$13</f>
        <v>0</v>
      </c>
      <c r="BA6" s="19">
        <f>'ARR-Waterfall'!BA6*Inputs!$B$16*Inputs!$B$13</f>
        <v>0</v>
      </c>
      <c r="BB6" s="19">
        <f>'ARR-Waterfall'!BB6*Inputs!$B$16*Inputs!$B$13</f>
        <v>0</v>
      </c>
      <c r="BC6" s="19">
        <f>'ARR-Waterfall'!BC6*Inputs!$B$16*Inputs!$B$13</f>
        <v>0</v>
      </c>
      <c r="BD6" s="19">
        <f>'ARR-Waterfall'!BD6*Inputs!$B$16*Inputs!$B$13</f>
        <v>0</v>
      </c>
      <c r="BE6" s="19">
        <f>'ARR-Waterfall'!BE6*Inputs!$B$16*Inputs!$B$13</f>
        <v>0</v>
      </c>
      <c r="BF6" s="19">
        <f>'ARR-Waterfall'!BF6*Inputs!$B$16*Inputs!$B$13</f>
        <v>0</v>
      </c>
      <c r="BG6" s="19">
        <f>'ARR-Waterfall'!BG6*Inputs!$B$16*Inputs!$B$13</f>
        <v>0</v>
      </c>
      <c r="BH6" s="19">
        <f>'ARR-Waterfall'!BH6*Inputs!$B$16*Inputs!$B$13</f>
        <v>0</v>
      </c>
      <c r="BI6" s="19">
        <f>'ARR-Waterfall'!BI6*Inputs!$B$16*Inputs!$B$13</f>
        <v>0</v>
      </c>
    </row>
    <row r="7" spans="1:61">
      <c r="A7" s="2" t="s">
        <v>221</v>
      </c>
      <c r="B7" s="10">
        <f>SUM(B4:B6)</f>
        <v>0</v>
      </c>
      <c r="C7" s="10">
        <f>SUM(C4:C6)</f>
        <v>0</v>
      </c>
      <c r="D7" s="10">
        <f>SUM(D4:D6)</f>
        <v>0</v>
      </c>
      <c r="E7" s="10">
        <f>SUM(E4:E6)</f>
        <v>0</v>
      </c>
      <c r="F7" s="10">
        <f>SUM(F4:F6)</f>
        <v>0</v>
      </c>
      <c r="G7" s="10">
        <f>SUM(G4:G6)</f>
        <v>0</v>
      </c>
      <c r="H7" s="10">
        <f>SUM(H4:H6)</f>
        <v>0</v>
      </c>
      <c r="I7" s="10">
        <f>SUM(I4:I6)</f>
        <v>0</v>
      </c>
      <c r="J7" s="10">
        <f>SUM(J4:J6)</f>
        <v>0</v>
      </c>
      <c r="K7" s="10">
        <f>SUM(K4:K6)</f>
        <v>0</v>
      </c>
      <c r="L7" s="10">
        <f>SUM(L4:L6)</f>
        <v>0</v>
      </c>
      <c r="M7" s="10">
        <f>SUM(M4:M6)</f>
        <v>0</v>
      </c>
      <c r="N7" s="10">
        <f>SUM(N4:N6)</f>
        <v>0</v>
      </c>
      <c r="O7" s="10">
        <f>SUM(O4:O6)</f>
        <v>0</v>
      </c>
      <c r="P7" s="10">
        <f>SUM(P4:P6)</f>
        <v>0</v>
      </c>
      <c r="Q7" s="10">
        <f>SUM(Q4:Q6)</f>
        <v>0</v>
      </c>
      <c r="R7" s="10">
        <f>SUM(R4:R6)</f>
        <v>0</v>
      </c>
      <c r="S7" s="10">
        <f>SUM(S4:S6)</f>
        <v>0</v>
      </c>
      <c r="T7" s="10">
        <f>SUM(T4:T6)</f>
        <v>0</v>
      </c>
      <c r="U7" s="10">
        <f>SUM(U4:U6)</f>
        <v>0</v>
      </c>
      <c r="V7" s="10">
        <f>SUM(V4:V6)</f>
        <v>0</v>
      </c>
      <c r="W7" s="10">
        <f>SUM(W4:W6)</f>
        <v>0</v>
      </c>
      <c r="X7" s="10">
        <f>SUM(X4:X6)</f>
        <v>0</v>
      </c>
      <c r="Y7" s="10">
        <f>SUM(Y4:Y6)</f>
        <v>0</v>
      </c>
      <c r="Z7" s="10">
        <f>SUM(Z4:Z6)</f>
        <v>0</v>
      </c>
      <c r="AA7" s="10">
        <f>SUM(AA4:AA6)</f>
        <v>0</v>
      </c>
      <c r="AB7" s="10">
        <f>SUM(AB4:AB6)</f>
        <v>0</v>
      </c>
      <c r="AC7" s="10">
        <f>SUM(AC4:AC6)</f>
        <v>0</v>
      </c>
      <c r="AD7" s="10">
        <f>SUM(AD4:AD6)</f>
        <v>0</v>
      </c>
      <c r="AE7" s="10">
        <f>SUM(AE4:AE6)</f>
        <v>0</v>
      </c>
      <c r="AF7" s="10">
        <f>SUM(AF4:AF6)</f>
        <v>0</v>
      </c>
      <c r="AG7" s="10">
        <f>SUM(AG4:AG6)</f>
        <v>0</v>
      </c>
      <c r="AH7" s="10">
        <f>SUM(AH4:AH6)</f>
        <v>0</v>
      </c>
      <c r="AI7" s="10">
        <f>SUM(AI4:AI6)</f>
        <v>0</v>
      </c>
      <c r="AJ7" s="10">
        <f>SUM(AJ4:AJ6)</f>
        <v>0</v>
      </c>
      <c r="AK7" s="10">
        <f>SUM(AK4:AK6)</f>
        <v>0</v>
      </c>
      <c r="AL7" s="10">
        <f>SUM(AL4:AL6)</f>
        <v>0</v>
      </c>
      <c r="AM7" s="10">
        <f>SUM(AM4:AM6)</f>
        <v>0</v>
      </c>
      <c r="AN7" s="10">
        <f>SUM(AN4:AN6)</f>
        <v>0</v>
      </c>
      <c r="AO7" s="10">
        <f>SUM(AO4:AO6)</f>
        <v>0</v>
      </c>
      <c r="AP7" s="10">
        <f>SUM(AP4:AP6)</f>
        <v>0</v>
      </c>
      <c r="AQ7" s="10">
        <f>SUM(AQ4:AQ6)</f>
        <v>0</v>
      </c>
      <c r="AR7" s="10">
        <f>SUM(AR4:AR6)</f>
        <v>0</v>
      </c>
      <c r="AS7" s="10">
        <f>SUM(AS4:AS6)</f>
        <v>0</v>
      </c>
      <c r="AT7" s="10">
        <f>SUM(AT4:AT6)</f>
        <v>0</v>
      </c>
      <c r="AU7" s="10">
        <f>SUM(AU4:AU6)</f>
        <v>0</v>
      </c>
      <c r="AV7" s="10">
        <f>SUM(AV4:AV6)</f>
        <v>0</v>
      </c>
      <c r="AW7" s="10">
        <f>SUM(AW4:AW6)</f>
        <v>0</v>
      </c>
      <c r="AX7" s="10">
        <f>SUM(AX4:AX6)</f>
        <v>0</v>
      </c>
      <c r="AY7" s="10">
        <f>SUM(AY4:AY6)</f>
        <v>0</v>
      </c>
      <c r="AZ7" s="10">
        <f>SUM(AZ4:AZ6)</f>
        <v>0</v>
      </c>
      <c r="BA7" s="10">
        <f>SUM(BA4:BA6)</f>
        <v>0</v>
      </c>
      <c r="BB7" s="10">
        <f>SUM(BB4:BB6)</f>
        <v>0</v>
      </c>
      <c r="BC7" s="10">
        <f>SUM(BC4:BC6)</f>
        <v>0</v>
      </c>
      <c r="BD7" s="10">
        <f>SUM(BD4:BD6)</f>
        <v>0</v>
      </c>
      <c r="BE7" s="10">
        <f>SUM(BE4:BE6)</f>
        <v>0</v>
      </c>
      <c r="BF7" s="10">
        <f>SUM(BF4:BF6)</f>
        <v>0</v>
      </c>
      <c r="BG7" s="10">
        <f>SUM(BG4:BG6)</f>
        <v>0</v>
      </c>
      <c r="BH7" s="10">
        <f>SUM(BH4:BH6)</f>
        <v>0</v>
      </c>
      <c r="BI7" s="10">
        <f>SUM(BI4:BI6)</f>
        <v>0</v>
      </c>
    </row>
    <row r="8" spans="1:61">
      <c r="A8" s="2" t="s">
        <v>222</v>
      </c>
      <c r="B8" s="19">
        <f>B7*12</f>
        <v>0</v>
      </c>
      <c r="C8" s="19">
        <f>C7*12</f>
        <v>0</v>
      </c>
      <c r="D8" s="19">
        <f>D7*12</f>
        <v>0</v>
      </c>
      <c r="E8" s="19">
        <f>E7*12</f>
        <v>0</v>
      </c>
      <c r="F8" s="19">
        <f>F7*12</f>
        <v>0</v>
      </c>
      <c r="G8" s="19">
        <f>G7*12</f>
        <v>0</v>
      </c>
      <c r="H8" s="19">
        <f>H7*12</f>
        <v>0</v>
      </c>
      <c r="I8" s="19">
        <f>I7*12</f>
        <v>0</v>
      </c>
      <c r="J8" s="19">
        <f>J7*12</f>
        <v>0</v>
      </c>
      <c r="K8" s="19">
        <f>K7*12</f>
        <v>0</v>
      </c>
      <c r="L8" s="19">
        <f>L7*12</f>
        <v>0</v>
      </c>
      <c r="M8" s="19">
        <f>M7*12</f>
        <v>0</v>
      </c>
      <c r="N8" s="19">
        <f>N7*12</f>
        <v>0</v>
      </c>
      <c r="O8" s="19">
        <f>O7*12</f>
        <v>0</v>
      </c>
      <c r="P8" s="19">
        <f>P7*12</f>
        <v>0</v>
      </c>
      <c r="Q8" s="19">
        <f>Q7*12</f>
        <v>0</v>
      </c>
      <c r="R8" s="19">
        <f>R7*12</f>
        <v>0</v>
      </c>
      <c r="S8" s="19">
        <f>S7*12</f>
        <v>0</v>
      </c>
      <c r="T8" s="19">
        <f>T7*12</f>
        <v>0</v>
      </c>
      <c r="U8" s="19">
        <f>U7*12</f>
        <v>0</v>
      </c>
      <c r="V8" s="19">
        <f>V7*12</f>
        <v>0</v>
      </c>
      <c r="W8" s="19">
        <f>W7*12</f>
        <v>0</v>
      </c>
      <c r="X8" s="19">
        <f>X7*12</f>
        <v>0</v>
      </c>
      <c r="Y8" s="19">
        <f>Y7*12</f>
        <v>0</v>
      </c>
      <c r="Z8" s="19">
        <f>Z7*12</f>
        <v>0</v>
      </c>
      <c r="AA8" s="19">
        <f>AA7*12</f>
        <v>0</v>
      </c>
      <c r="AB8" s="19">
        <f>AB7*12</f>
        <v>0</v>
      </c>
      <c r="AC8" s="19">
        <f>AC7*12</f>
        <v>0</v>
      </c>
      <c r="AD8" s="19">
        <f>AD7*12</f>
        <v>0</v>
      </c>
      <c r="AE8" s="19">
        <f>AE7*12</f>
        <v>0</v>
      </c>
      <c r="AF8" s="19">
        <f>AF7*12</f>
        <v>0</v>
      </c>
      <c r="AG8" s="19">
        <f>AG7*12</f>
        <v>0</v>
      </c>
      <c r="AH8" s="19">
        <f>AH7*12</f>
        <v>0</v>
      </c>
      <c r="AI8" s="19">
        <f>AI7*12</f>
        <v>0</v>
      </c>
      <c r="AJ8" s="19">
        <f>AJ7*12</f>
        <v>0</v>
      </c>
      <c r="AK8" s="19">
        <f>AK7*12</f>
        <v>0</v>
      </c>
      <c r="AL8" s="19">
        <f>AL7*12</f>
        <v>0</v>
      </c>
      <c r="AM8" s="19">
        <f>AM7*12</f>
        <v>0</v>
      </c>
      <c r="AN8" s="19">
        <f>AN7*12</f>
        <v>0</v>
      </c>
      <c r="AO8" s="19">
        <f>AO7*12</f>
        <v>0</v>
      </c>
      <c r="AP8" s="19">
        <f>AP7*12</f>
        <v>0</v>
      </c>
      <c r="AQ8" s="19">
        <f>AQ7*12</f>
        <v>0</v>
      </c>
      <c r="AR8" s="19">
        <f>AR7*12</f>
        <v>0</v>
      </c>
      <c r="AS8" s="19">
        <f>AS7*12</f>
        <v>0</v>
      </c>
      <c r="AT8" s="19">
        <f>AT7*12</f>
        <v>0</v>
      </c>
      <c r="AU8" s="19">
        <f>AU7*12</f>
        <v>0</v>
      </c>
      <c r="AV8" s="19">
        <f>AV7*12</f>
        <v>0</v>
      </c>
      <c r="AW8" s="19">
        <f>AW7*12</f>
        <v>0</v>
      </c>
      <c r="AX8" s="19">
        <f>AX7*12</f>
        <v>0</v>
      </c>
      <c r="AY8" s="19">
        <f>AY7*12</f>
        <v>0</v>
      </c>
      <c r="AZ8" s="19">
        <f>AZ7*12</f>
        <v>0</v>
      </c>
      <c r="BA8" s="19">
        <f>BA7*12</f>
        <v>0</v>
      </c>
      <c r="BB8" s="19">
        <f>BB7*12</f>
        <v>0</v>
      </c>
      <c r="BC8" s="19">
        <f>BC7*12</f>
        <v>0</v>
      </c>
      <c r="BD8" s="19">
        <f>BD7*12</f>
        <v>0</v>
      </c>
      <c r="BE8" s="19">
        <f>BE7*12</f>
        <v>0</v>
      </c>
      <c r="BF8" s="19">
        <f>BF7*12</f>
        <v>0</v>
      </c>
      <c r="BG8" s="19">
        <f>BG7*12</f>
        <v>0</v>
      </c>
      <c r="BH8" s="19">
        <f>BH7*12</f>
        <v>0</v>
      </c>
      <c r="BI8" s="19">
        <f>BI7*12</f>
        <v>0</v>
      </c>
    </row>
    <row r="9" spans="1:61">
      <c r="A9" s="2" t="s">
        <v>223</v>
      </c>
      <c r="B9" s="19">
        <f>'ARR-Waterfall'!B12</f>
        <v>0</v>
      </c>
      <c r="C9" s="19">
        <f>'ARR-Waterfall'!C12</f>
        <v>0</v>
      </c>
      <c r="D9" s="19">
        <f>'ARR-Waterfall'!D12</f>
        <v>0</v>
      </c>
      <c r="E9" s="19">
        <f>'ARR-Waterfall'!E12</f>
        <v>0</v>
      </c>
      <c r="F9" s="19">
        <f>'ARR-Waterfall'!F12</f>
        <v>0</v>
      </c>
      <c r="G9" s="19">
        <f>'ARR-Waterfall'!G12</f>
        <v>0</v>
      </c>
      <c r="H9" s="19">
        <f>'ARR-Waterfall'!H12</f>
        <v>0</v>
      </c>
      <c r="I9" s="19">
        <f>'ARR-Waterfall'!I12</f>
        <v>0</v>
      </c>
      <c r="J9" s="19">
        <f>'ARR-Waterfall'!J12</f>
        <v>0</v>
      </c>
      <c r="K9" s="19">
        <f>'ARR-Waterfall'!K12</f>
        <v>0</v>
      </c>
      <c r="L9" s="19">
        <f>'ARR-Waterfall'!L12</f>
        <v>0</v>
      </c>
      <c r="M9" s="19">
        <f>'ARR-Waterfall'!M12</f>
        <v>0</v>
      </c>
      <c r="N9" s="19">
        <f>'ARR-Waterfall'!N12</f>
        <v>0</v>
      </c>
      <c r="O9" s="19">
        <f>'ARR-Waterfall'!O12</f>
        <v>0</v>
      </c>
      <c r="P9" s="19">
        <f>'ARR-Waterfall'!P12</f>
        <v>0</v>
      </c>
      <c r="Q9" s="19">
        <f>'ARR-Waterfall'!Q12</f>
        <v>0</v>
      </c>
      <c r="R9" s="19">
        <f>'ARR-Waterfall'!R12</f>
        <v>0</v>
      </c>
      <c r="S9" s="19">
        <f>'ARR-Waterfall'!S12</f>
        <v>0</v>
      </c>
      <c r="T9" s="19">
        <f>'ARR-Waterfall'!T12</f>
        <v>0</v>
      </c>
      <c r="U9" s="19">
        <f>'ARR-Waterfall'!U12</f>
        <v>0</v>
      </c>
      <c r="V9" s="19">
        <f>'ARR-Waterfall'!V12</f>
        <v>0</v>
      </c>
      <c r="W9" s="19">
        <f>'ARR-Waterfall'!W12</f>
        <v>0</v>
      </c>
      <c r="X9" s="19">
        <f>'ARR-Waterfall'!X12</f>
        <v>0</v>
      </c>
      <c r="Y9" s="19">
        <f>'ARR-Waterfall'!Y12</f>
        <v>0</v>
      </c>
      <c r="Z9" s="19">
        <f>'ARR-Waterfall'!Z12</f>
        <v>0</v>
      </c>
      <c r="AA9" s="19">
        <f>'ARR-Waterfall'!AA12</f>
        <v>0</v>
      </c>
      <c r="AB9" s="19">
        <f>'ARR-Waterfall'!AB12</f>
        <v>0</v>
      </c>
      <c r="AC9" s="19">
        <f>'ARR-Waterfall'!AC12</f>
        <v>0</v>
      </c>
      <c r="AD9" s="19">
        <f>'ARR-Waterfall'!AD12</f>
        <v>0</v>
      </c>
      <c r="AE9" s="19">
        <f>'ARR-Waterfall'!AE12</f>
        <v>0</v>
      </c>
      <c r="AF9" s="19">
        <f>'ARR-Waterfall'!AF12</f>
        <v>0</v>
      </c>
      <c r="AG9" s="19">
        <f>'ARR-Waterfall'!AG12</f>
        <v>0</v>
      </c>
      <c r="AH9" s="19">
        <f>'ARR-Waterfall'!AH12</f>
        <v>0</v>
      </c>
      <c r="AI9" s="19">
        <f>'ARR-Waterfall'!AI12</f>
        <v>0</v>
      </c>
      <c r="AJ9" s="19">
        <f>'ARR-Waterfall'!AJ12</f>
        <v>0</v>
      </c>
      <c r="AK9" s="19">
        <f>'ARR-Waterfall'!AK12</f>
        <v>0</v>
      </c>
      <c r="AL9" s="19">
        <f>'ARR-Waterfall'!AL12</f>
        <v>0</v>
      </c>
      <c r="AM9" s="19">
        <f>'ARR-Waterfall'!AM12</f>
        <v>0</v>
      </c>
      <c r="AN9" s="19">
        <f>'ARR-Waterfall'!AN12</f>
        <v>0</v>
      </c>
      <c r="AO9" s="19">
        <f>'ARR-Waterfall'!AO12</f>
        <v>0</v>
      </c>
      <c r="AP9" s="19">
        <f>'ARR-Waterfall'!AP12</f>
        <v>0</v>
      </c>
      <c r="AQ9" s="19">
        <f>'ARR-Waterfall'!AQ12</f>
        <v>0</v>
      </c>
      <c r="AR9" s="19">
        <f>'ARR-Waterfall'!AR12</f>
        <v>0</v>
      </c>
      <c r="AS9" s="19">
        <f>'ARR-Waterfall'!AS12</f>
        <v>0</v>
      </c>
      <c r="AT9" s="19">
        <f>'ARR-Waterfall'!AT12</f>
        <v>0</v>
      </c>
      <c r="AU9" s="19">
        <f>'ARR-Waterfall'!AU12</f>
        <v>0</v>
      </c>
      <c r="AV9" s="19">
        <f>'ARR-Waterfall'!AV12</f>
        <v>0</v>
      </c>
      <c r="AW9" s="19">
        <f>'ARR-Waterfall'!AW12</f>
        <v>0</v>
      </c>
      <c r="AX9" s="19">
        <f>'ARR-Waterfall'!AX12</f>
        <v>0</v>
      </c>
      <c r="AY9" s="19">
        <f>'ARR-Waterfall'!AY12</f>
        <v>0</v>
      </c>
      <c r="AZ9" s="19">
        <f>'ARR-Waterfall'!AZ12</f>
        <v>0</v>
      </c>
      <c r="BA9" s="19">
        <f>'ARR-Waterfall'!BA12</f>
        <v>0</v>
      </c>
      <c r="BB9" s="19">
        <f>'ARR-Waterfall'!BB12</f>
        <v>0</v>
      </c>
      <c r="BC9" s="19">
        <f>'ARR-Waterfall'!BC12</f>
        <v>0</v>
      </c>
      <c r="BD9" s="19">
        <f>'ARR-Waterfall'!BD12</f>
        <v>0</v>
      </c>
      <c r="BE9" s="19">
        <f>'ARR-Waterfall'!BE12</f>
        <v>0</v>
      </c>
      <c r="BF9" s="19">
        <f>'ARR-Waterfall'!BF12</f>
        <v>0</v>
      </c>
      <c r="BG9" s="19">
        <f>'ARR-Waterfall'!BG12</f>
        <v>0</v>
      </c>
      <c r="BH9" s="19">
        <f>'ARR-Waterfall'!BH12</f>
        <v>0</v>
      </c>
      <c r="BI9" s="19">
        <f>'ARR-Waterfall'!BI12</f>
        <v>0</v>
      </c>
    </row>
    <row r="10" spans="1:61">
      <c r="A10" s="2" t="s">
        <v>224</v>
      </c>
      <c r="B10" s="19">
        <f>B8-B9</f>
        <v>0</v>
      </c>
      <c r="C10" s="19">
        <f>C8-C9</f>
        <v>0</v>
      </c>
      <c r="D10" s="19">
        <f>D8-D9</f>
        <v>0</v>
      </c>
      <c r="E10" s="19">
        <f>E8-E9</f>
        <v>0</v>
      </c>
      <c r="F10" s="19">
        <f>F8-F9</f>
        <v>0</v>
      </c>
      <c r="G10" s="19">
        <f>G8-G9</f>
        <v>0</v>
      </c>
      <c r="H10" s="19">
        <f>H8-H9</f>
        <v>0</v>
      </c>
      <c r="I10" s="19">
        <f>I8-I9</f>
        <v>0</v>
      </c>
      <c r="J10" s="19">
        <f>J8-J9</f>
        <v>0</v>
      </c>
      <c r="K10" s="19">
        <f>K8-K9</f>
        <v>0</v>
      </c>
      <c r="L10" s="19">
        <f>L8-L9</f>
        <v>0</v>
      </c>
      <c r="M10" s="19">
        <f>M8-M9</f>
        <v>0</v>
      </c>
      <c r="N10" s="19">
        <f>N8-N9</f>
        <v>0</v>
      </c>
      <c r="O10" s="19">
        <f>O8-O9</f>
        <v>0</v>
      </c>
      <c r="P10" s="19">
        <f>P8-P9</f>
        <v>0</v>
      </c>
      <c r="Q10" s="19">
        <f>Q8-Q9</f>
        <v>0</v>
      </c>
      <c r="R10" s="19">
        <f>R8-R9</f>
        <v>0</v>
      </c>
      <c r="S10" s="19">
        <f>S8-S9</f>
        <v>0</v>
      </c>
      <c r="T10" s="19">
        <f>T8-T9</f>
        <v>0</v>
      </c>
      <c r="U10" s="19">
        <f>U8-U9</f>
        <v>0</v>
      </c>
      <c r="V10" s="19">
        <f>V8-V9</f>
        <v>0</v>
      </c>
      <c r="W10" s="19">
        <f>W8-W9</f>
        <v>0</v>
      </c>
      <c r="X10" s="19">
        <f>X8-X9</f>
        <v>0</v>
      </c>
      <c r="Y10" s="19">
        <f>Y8-Y9</f>
        <v>0</v>
      </c>
      <c r="Z10" s="19">
        <f>Z8-Z9</f>
        <v>0</v>
      </c>
      <c r="AA10" s="19">
        <f>AA8-AA9</f>
        <v>0</v>
      </c>
      <c r="AB10" s="19">
        <f>AB8-AB9</f>
        <v>0</v>
      </c>
      <c r="AC10" s="19">
        <f>AC8-AC9</f>
        <v>0</v>
      </c>
      <c r="AD10" s="19">
        <f>AD8-AD9</f>
        <v>0</v>
      </c>
      <c r="AE10" s="19">
        <f>AE8-AE9</f>
        <v>0</v>
      </c>
      <c r="AF10" s="19">
        <f>AF8-AF9</f>
        <v>0</v>
      </c>
      <c r="AG10" s="19">
        <f>AG8-AG9</f>
        <v>0</v>
      </c>
      <c r="AH10" s="19">
        <f>AH8-AH9</f>
        <v>0</v>
      </c>
      <c r="AI10" s="19">
        <f>AI8-AI9</f>
        <v>0</v>
      </c>
      <c r="AJ10" s="19">
        <f>AJ8-AJ9</f>
        <v>0</v>
      </c>
      <c r="AK10" s="19">
        <f>AK8-AK9</f>
        <v>0</v>
      </c>
      <c r="AL10" s="19">
        <f>AL8-AL9</f>
        <v>0</v>
      </c>
      <c r="AM10" s="19">
        <f>AM8-AM9</f>
        <v>0</v>
      </c>
      <c r="AN10" s="19">
        <f>AN8-AN9</f>
        <v>0</v>
      </c>
      <c r="AO10" s="19">
        <f>AO8-AO9</f>
        <v>0</v>
      </c>
      <c r="AP10" s="19">
        <f>AP8-AP9</f>
        <v>0</v>
      </c>
      <c r="AQ10" s="19">
        <f>AQ8-AQ9</f>
        <v>0</v>
      </c>
      <c r="AR10" s="19">
        <f>AR8-AR9</f>
        <v>0</v>
      </c>
      <c r="AS10" s="19">
        <f>AS8-AS9</f>
        <v>0</v>
      </c>
      <c r="AT10" s="19">
        <f>AT8-AT9</f>
        <v>0</v>
      </c>
      <c r="AU10" s="19">
        <f>AU8-AU9</f>
        <v>0</v>
      </c>
      <c r="AV10" s="19">
        <f>AV8-AV9</f>
        <v>0</v>
      </c>
      <c r="AW10" s="19">
        <f>AW8-AW9</f>
        <v>0</v>
      </c>
      <c r="AX10" s="19">
        <f>AX8-AX9</f>
        <v>0</v>
      </c>
      <c r="AY10" s="19">
        <f>AY8-AY9</f>
        <v>0</v>
      </c>
      <c r="AZ10" s="19">
        <f>AZ8-AZ9</f>
        <v>0</v>
      </c>
      <c r="BA10" s="19">
        <f>BA8-BA9</f>
        <v>0</v>
      </c>
      <c r="BB10" s="19">
        <f>BB8-BB9</f>
        <v>0</v>
      </c>
      <c r="BC10" s="19">
        <f>BC8-BC9</f>
        <v>0</v>
      </c>
      <c r="BD10" s="19">
        <f>BD8-BD9</f>
        <v>0</v>
      </c>
      <c r="BE10" s="19">
        <f>BE8-BE9</f>
        <v>0</v>
      </c>
      <c r="BF10" s="19">
        <f>BF8-BF9</f>
        <v>0</v>
      </c>
      <c r="BG10" s="19">
        <f>BG8-BG9</f>
        <v>0</v>
      </c>
      <c r="BH10" s="19">
        <f>BH8-BH9</f>
        <v>0</v>
      </c>
      <c r="BI10" s="19">
        <f>BI8-BI9</f>
        <v>0</v>
      </c>
    </row>
  </sheetData>
  <mergeCells count="1">
    <mergeCell ref="A1:B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cols>
    <col min="1" max="1" width="30.7109375" customWidth="1"/>
    <col min="2" max="21" width="11.7109375" customWidth="1"/>
  </cols>
  <sheetData>
    <row r="1" spans="1:21" ht="28" customHeight="1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A3" s="16" t="s">
        <v>90</v>
      </c>
      <c r="B3" s="16" t="s">
        <v>226</v>
      </c>
      <c r="C3" s="16" t="s">
        <v>227</v>
      </c>
      <c r="D3" s="16" t="s">
        <v>228</v>
      </c>
      <c r="E3" s="16" t="s">
        <v>229</v>
      </c>
      <c r="F3" s="16" t="s">
        <v>230</v>
      </c>
      <c r="G3" s="16" t="s">
        <v>231</v>
      </c>
      <c r="H3" s="16" t="s">
        <v>232</v>
      </c>
      <c r="I3" s="16" t="s">
        <v>233</v>
      </c>
      <c r="J3" s="16" t="s">
        <v>234</v>
      </c>
      <c r="K3" s="16" t="s">
        <v>235</v>
      </c>
      <c r="L3" s="16" t="s">
        <v>236</v>
      </c>
      <c r="M3" s="16" t="s">
        <v>237</v>
      </c>
      <c r="N3" s="16" t="s">
        <v>238</v>
      </c>
      <c r="O3" s="16" t="s">
        <v>239</v>
      </c>
      <c r="P3" s="16" t="s">
        <v>240</v>
      </c>
      <c r="Q3" s="16" t="s">
        <v>241</v>
      </c>
      <c r="R3" s="16" t="s">
        <v>242</v>
      </c>
      <c r="S3" s="16" t="s">
        <v>243</v>
      </c>
      <c r="T3" s="16" t="s">
        <v>244</v>
      </c>
      <c r="U3" s="16" t="s">
        <v>245</v>
      </c>
    </row>
    <row r="4" spans="1:21">
      <c r="A4" s="2" t="s">
        <v>97</v>
      </c>
      <c r="B4" s="18">
        <v>1</v>
      </c>
      <c r="C4" s="18">
        <v>1</v>
      </c>
      <c r="D4" s="18">
        <v>1</v>
      </c>
      <c r="E4" s="18">
        <v>1</v>
      </c>
      <c r="F4" s="18">
        <v>2</v>
      </c>
      <c r="G4" s="18">
        <v>2</v>
      </c>
      <c r="H4" s="18">
        <v>2</v>
      </c>
      <c r="I4" s="18">
        <v>2</v>
      </c>
      <c r="J4" s="18">
        <v>3</v>
      </c>
      <c r="K4" s="18">
        <v>3</v>
      </c>
      <c r="L4" s="18">
        <v>3</v>
      </c>
      <c r="M4" s="18">
        <v>3</v>
      </c>
      <c r="N4" s="18">
        <v>4</v>
      </c>
      <c r="O4" s="18">
        <v>4</v>
      </c>
      <c r="P4" s="18">
        <v>4</v>
      </c>
      <c r="Q4" s="18">
        <v>4</v>
      </c>
      <c r="R4" s="18">
        <v>4</v>
      </c>
      <c r="S4" s="18">
        <v>4</v>
      </c>
      <c r="T4" s="18">
        <v>4</v>
      </c>
      <c r="U4" s="18">
        <v>4</v>
      </c>
    </row>
    <row r="5" spans="1:21">
      <c r="A5" s="2" t="s">
        <v>99</v>
      </c>
      <c r="B5" s="18">
        <v>2</v>
      </c>
      <c r="C5" s="18">
        <v>2</v>
      </c>
      <c r="D5" s="18">
        <v>2</v>
      </c>
      <c r="E5" s="18">
        <v>2</v>
      </c>
      <c r="F5" s="18">
        <v>4</v>
      </c>
      <c r="G5" s="18">
        <v>4</v>
      </c>
      <c r="H5" s="18">
        <v>4</v>
      </c>
      <c r="I5" s="18">
        <v>4</v>
      </c>
      <c r="J5" s="18">
        <v>7</v>
      </c>
      <c r="K5" s="18">
        <v>7</v>
      </c>
      <c r="L5" s="18">
        <v>7</v>
      </c>
      <c r="M5" s="18">
        <v>7</v>
      </c>
      <c r="N5" s="18">
        <v>10</v>
      </c>
      <c r="O5" s="18">
        <v>10</v>
      </c>
      <c r="P5" s="18">
        <v>10</v>
      </c>
      <c r="Q5" s="18">
        <v>10</v>
      </c>
      <c r="R5" s="18">
        <v>10</v>
      </c>
      <c r="S5" s="18">
        <v>10</v>
      </c>
      <c r="T5" s="18">
        <v>10</v>
      </c>
      <c r="U5" s="18">
        <v>10</v>
      </c>
    </row>
    <row r="6" spans="1:21">
      <c r="A6" s="2" t="s">
        <v>100</v>
      </c>
      <c r="B6" s="18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2</v>
      </c>
      <c r="K6" s="18">
        <v>2</v>
      </c>
      <c r="L6" s="18">
        <v>2</v>
      </c>
      <c r="M6" s="18">
        <v>2</v>
      </c>
      <c r="N6" s="18">
        <v>3</v>
      </c>
      <c r="O6" s="18">
        <v>3</v>
      </c>
      <c r="P6" s="18">
        <v>3</v>
      </c>
      <c r="Q6" s="18">
        <v>3</v>
      </c>
      <c r="R6" s="18">
        <v>3</v>
      </c>
      <c r="S6" s="18">
        <v>3</v>
      </c>
      <c r="T6" s="18">
        <v>3</v>
      </c>
      <c r="U6" s="18">
        <v>3</v>
      </c>
    </row>
    <row r="7" spans="1:21">
      <c r="A7" s="2" t="s">
        <v>101</v>
      </c>
      <c r="B7" s="18">
        <v>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  <c r="I7" s="18">
        <v>1</v>
      </c>
      <c r="J7" s="18">
        <v>2</v>
      </c>
      <c r="K7" s="18">
        <v>2</v>
      </c>
      <c r="L7" s="18">
        <v>2</v>
      </c>
      <c r="M7" s="18">
        <v>2</v>
      </c>
      <c r="N7" s="18">
        <v>2</v>
      </c>
      <c r="O7" s="18">
        <v>2</v>
      </c>
      <c r="P7" s="18">
        <v>2</v>
      </c>
      <c r="Q7" s="18">
        <v>2</v>
      </c>
      <c r="R7" s="18">
        <v>2</v>
      </c>
      <c r="S7" s="18">
        <v>2</v>
      </c>
      <c r="T7" s="18">
        <v>2</v>
      </c>
      <c r="U7" s="18">
        <v>2</v>
      </c>
    </row>
    <row r="8" spans="1:21">
      <c r="A8" s="2" t="s">
        <v>102</v>
      </c>
      <c r="B8" s="18">
        <v>1</v>
      </c>
      <c r="C8" s="18">
        <v>1</v>
      </c>
      <c r="D8" s="18">
        <v>1</v>
      </c>
      <c r="E8" s="18">
        <v>1</v>
      </c>
      <c r="F8" s="18">
        <v>3</v>
      </c>
      <c r="G8" s="18">
        <v>3</v>
      </c>
      <c r="H8" s="18">
        <v>3</v>
      </c>
      <c r="I8" s="18">
        <v>3</v>
      </c>
      <c r="J8" s="18">
        <v>6</v>
      </c>
      <c r="K8" s="18">
        <v>6</v>
      </c>
      <c r="L8" s="18">
        <v>6</v>
      </c>
      <c r="M8" s="18">
        <v>6</v>
      </c>
      <c r="N8" s="18">
        <v>10</v>
      </c>
      <c r="O8" s="18">
        <v>10</v>
      </c>
      <c r="P8" s="18">
        <v>10</v>
      </c>
      <c r="Q8" s="18">
        <v>10</v>
      </c>
      <c r="R8" s="18">
        <v>10</v>
      </c>
      <c r="S8" s="18">
        <v>10</v>
      </c>
      <c r="T8" s="18">
        <v>10</v>
      </c>
      <c r="U8" s="18">
        <v>10</v>
      </c>
    </row>
    <row r="9" spans="1:21">
      <c r="A9" s="2" t="s">
        <v>104</v>
      </c>
      <c r="B9" s="18">
        <v>1</v>
      </c>
      <c r="C9" s="18">
        <v>1</v>
      </c>
      <c r="D9" s="18">
        <v>1</v>
      </c>
      <c r="E9" s="18">
        <v>1</v>
      </c>
      <c r="F9" s="18">
        <v>2</v>
      </c>
      <c r="G9" s="18">
        <v>2</v>
      </c>
      <c r="H9" s="18">
        <v>2</v>
      </c>
      <c r="I9" s="18">
        <v>2</v>
      </c>
      <c r="J9" s="18">
        <v>5</v>
      </c>
      <c r="K9" s="18">
        <v>5</v>
      </c>
      <c r="L9" s="18">
        <v>5</v>
      </c>
      <c r="M9" s="18">
        <v>5</v>
      </c>
      <c r="N9" s="18">
        <v>8</v>
      </c>
      <c r="O9" s="18">
        <v>8</v>
      </c>
      <c r="P9" s="18">
        <v>8</v>
      </c>
      <c r="Q9" s="18">
        <v>8</v>
      </c>
      <c r="R9" s="18">
        <v>8</v>
      </c>
      <c r="S9" s="18">
        <v>8</v>
      </c>
      <c r="T9" s="18">
        <v>8</v>
      </c>
      <c r="U9" s="18">
        <v>8</v>
      </c>
    </row>
    <row r="10" spans="1:21">
      <c r="A10" s="2" t="s">
        <v>105</v>
      </c>
      <c r="B10" s="18">
        <v>1</v>
      </c>
      <c r="C10" s="18">
        <v>1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  <c r="I10" s="18">
        <v>1</v>
      </c>
      <c r="J10" s="18">
        <v>2</v>
      </c>
      <c r="K10" s="18">
        <v>2</v>
      </c>
      <c r="L10" s="18">
        <v>2</v>
      </c>
      <c r="M10" s="18">
        <v>2</v>
      </c>
      <c r="N10" s="18">
        <v>3</v>
      </c>
      <c r="O10" s="18">
        <v>3</v>
      </c>
      <c r="P10" s="18">
        <v>3</v>
      </c>
      <c r="Q10" s="18">
        <v>3</v>
      </c>
      <c r="R10" s="18">
        <v>3</v>
      </c>
      <c r="S10" s="18">
        <v>3</v>
      </c>
      <c r="T10" s="18">
        <v>3</v>
      </c>
      <c r="U10" s="18">
        <v>3</v>
      </c>
    </row>
    <row r="11" spans="1:21">
      <c r="A11" s="2" t="s">
        <v>106</v>
      </c>
      <c r="B11" s="18">
        <v>1</v>
      </c>
      <c r="C11" s="18">
        <v>1</v>
      </c>
      <c r="D11" s="18">
        <v>1</v>
      </c>
      <c r="E11" s="18">
        <v>1</v>
      </c>
      <c r="F11" s="18">
        <v>2</v>
      </c>
      <c r="G11" s="18">
        <v>2</v>
      </c>
      <c r="H11" s="18">
        <v>2</v>
      </c>
      <c r="I11" s="18">
        <v>2</v>
      </c>
      <c r="J11" s="18">
        <v>4</v>
      </c>
      <c r="K11" s="18">
        <v>4</v>
      </c>
      <c r="L11" s="18">
        <v>4</v>
      </c>
      <c r="M11" s="18">
        <v>4</v>
      </c>
      <c r="N11" s="18">
        <v>6</v>
      </c>
      <c r="O11" s="18">
        <v>6</v>
      </c>
      <c r="P11" s="18">
        <v>6</v>
      </c>
      <c r="Q11" s="18">
        <v>6</v>
      </c>
      <c r="R11" s="18">
        <v>6</v>
      </c>
      <c r="S11" s="18">
        <v>6</v>
      </c>
      <c r="T11" s="18">
        <v>6</v>
      </c>
      <c r="U11" s="18">
        <v>6</v>
      </c>
    </row>
    <row r="12" spans="1:21">
      <c r="A12" s="2" t="s">
        <v>107</v>
      </c>
      <c r="B12" s="18">
        <v>1</v>
      </c>
      <c r="C12" s="18">
        <v>1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8">
        <v>2</v>
      </c>
      <c r="K12" s="18">
        <v>2</v>
      </c>
      <c r="L12" s="18">
        <v>2</v>
      </c>
      <c r="M12" s="18">
        <v>2</v>
      </c>
      <c r="N12" s="18">
        <v>3</v>
      </c>
      <c r="O12" s="18">
        <v>3</v>
      </c>
      <c r="P12" s="18">
        <v>3</v>
      </c>
      <c r="Q12" s="18">
        <v>3</v>
      </c>
      <c r="R12" s="18">
        <v>3</v>
      </c>
      <c r="S12" s="18">
        <v>3</v>
      </c>
      <c r="T12" s="18">
        <v>3</v>
      </c>
      <c r="U12" s="18">
        <v>3</v>
      </c>
    </row>
    <row r="13" spans="1:21">
      <c r="A13" s="2" t="s">
        <v>109</v>
      </c>
      <c r="B13" s="18">
        <v>1</v>
      </c>
      <c r="C13" s="18">
        <v>1</v>
      </c>
      <c r="D13" s="18">
        <v>1</v>
      </c>
      <c r="E13" s="18">
        <v>1</v>
      </c>
      <c r="F13" s="18">
        <v>1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</row>
    <row r="14" spans="1:21">
      <c r="A14" s="2" t="s">
        <v>246</v>
      </c>
      <c r="B14" s="12">
        <f>SUM(B4:B13)</f>
        <v>0</v>
      </c>
      <c r="C14" s="12">
        <f>SUM(C4:C13)</f>
        <v>0</v>
      </c>
      <c r="D14" s="12">
        <f>SUM(D4:D13)</f>
        <v>0</v>
      </c>
      <c r="E14" s="12">
        <f>SUM(E4:E13)</f>
        <v>0</v>
      </c>
      <c r="F14" s="12">
        <f>SUM(F4:F13)</f>
        <v>0</v>
      </c>
      <c r="G14" s="12">
        <f>SUM(G4:G13)</f>
        <v>0</v>
      </c>
      <c r="H14" s="12">
        <f>SUM(H4:H13)</f>
        <v>0</v>
      </c>
      <c r="I14" s="12">
        <f>SUM(I4:I13)</f>
        <v>0</v>
      </c>
      <c r="J14" s="12">
        <f>SUM(J4:J13)</f>
        <v>0</v>
      </c>
      <c r="K14" s="12">
        <f>SUM(K4:K13)</f>
        <v>0</v>
      </c>
      <c r="L14" s="12">
        <f>SUM(L4:L13)</f>
        <v>0</v>
      </c>
      <c r="M14" s="12">
        <f>SUM(M4:M13)</f>
        <v>0</v>
      </c>
      <c r="N14" s="12">
        <f>SUM(N4:N13)</f>
        <v>0</v>
      </c>
      <c r="O14" s="12">
        <f>SUM(O4:O13)</f>
        <v>0</v>
      </c>
      <c r="P14" s="12">
        <f>SUM(P4:P13)</f>
        <v>0</v>
      </c>
      <c r="Q14" s="12">
        <f>SUM(Q4:Q13)</f>
        <v>0</v>
      </c>
      <c r="R14" s="12">
        <f>SUM(R4:R13)</f>
        <v>0</v>
      </c>
      <c r="S14" s="12">
        <f>SUM(S4:S13)</f>
        <v>0</v>
      </c>
      <c r="T14" s="12">
        <f>SUM(T4:T13)</f>
        <v>0</v>
      </c>
      <c r="U14" s="12">
        <f>SUM(U4:U13)</f>
        <v>0</v>
      </c>
    </row>
    <row r="15" spans="1:21">
      <c r="A15" s="2" t="s">
        <v>247</v>
      </c>
      <c r="B15" s="10">
        <f>SUMPRODUCT(B4:B13,Inputs!$B$63:$B$72)/4</f>
        <v>0</v>
      </c>
      <c r="C15" s="10">
        <f>SUMPRODUCT(C4:C13,Inputs!$B$63:$B$72)/4</f>
        <v>0</v>
      </c>
      <c r="D15" s="10">
        <f>SUMPRODUCT(D4:D13,Inputs!$B$63:$B$72)/4</f>
        <v>0</v>
      </c>
      <c r="E15" s="10">
        <f>SUMPRODUCT(E4:E13,Inputs!$B$63:$B$72)/4</f>
        <v>0</v>
      </c>
      <c r="F15" s="10">
        <f>SUMPRODUCT(F4:F13,Inputs!$B$63:$B$72)/4</f>
        <v>0</v>
      </c>
      <c r="G15" s="10">
        <f>SUMPRODUCT(G4:G13,Inputs!$B$63:$B$72)/4</f>
        <v>0</v>
      </c>
      <c r="H15" s="10">
        <f>SUMPRODUCT(H4:H13,Inputs!$B$63:$B$72)/4</f>
        <v>0</v>
      </c>
      <c r="I15" s="10">
        <f>SUMPRODUCT(I4:I13,Inputs!$B$63:$B$72)/4</f>
        <v>0</v>
      </c>
      <c r="J15" s="10">
        <f>SUMPRODUCT(J4:J13,Inputs!$B$63:$B$72)/4</f>
        <v>0</v>
      </c>
      <c r="K15" s="10">
        <f>SUMPRODUCT(K4:K13,Inputs!$B$63:$B$72)/4</f>
        <v>0</v>
      </c>
      <c r="L15" s="10">
        <f>SUMPRODUCT(L4:L13,Inputs!$B$63:$B$72)/4</f>
        <v>0</v>
      </c>
      <c r="M15" s="10">
        <f>SUMPRODUCT(M4:M13,Inputs!$B$63:$B$72)/4</f>
        <v>0</v>
      </c>
      <c r="N15" s="10">
        <f>SUMPRODUCT(N4:N13,Inputs!$B$63:$B$72)/4</f>
        <v>0</v>
      </c>
      <c r="O15" s="10">
        <f>SUMPRODUCT(O4:O13,Inputs!$B$63:$B$72)/4</f>
        <v>0</v>
      </c>
      <c r="P15" s="10">
        <f>SUMPRODUCT(P4:P13,Inputs!$B$63:$B$72)/4</f>
        <v>0</v>
      </c>
      <c r="Q15" s="10">
        <f>SUMPRODUCT(Q4:Q13,Inputs!$B$63:$B$72)/4</f>
        <v>0</v>
      </c>
      <c r="R15" s="10">
        <f>SUMPRODUCT(R4:R13,Inputs!$B$63:$B$72)/4</f>
        <v>0</v>
      </c>
      <c r="S15" s="10">
        <f>SUMPRODUCT(S4:S13,Inputs!$B$63:$B$72)/4</f>
        <v>0</v>
      </c>
      <c r="T15" s="10">
        <f>SUMPRODUCT(T4:T13,Inputs!$B$63:$B$72)/4</f>
        <v>0</v>
      </c>
      <c r="U15" s="10">
        <f>SUMPRODUCT(U4:U13,Inputs!$B$63:$B$72)/4</f>
        <v>0</v>
      </c>
    </row>
  </sheetData>
  <mergeCells count="1">
    <mergeCell ref="A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36.7109375" customWidth="1"/>
    <col min="2" max="7" width="14.7109375" customWidth="1"/>
  </cols>
  <sheetData>
    <row r="1" spans="1:7" ht="28" customHeight="1">
      <c r="A1" s="1" t="s">
        <v>248</v>
      </c>
      <c r="B1" s="1"/>
      <c r="C1" s="1"/>
      <c r="D1" s="1"/>
      <c r="E1" s="1"/>
      <c r="F1" s="1"/>
      <c r="G1" s="1"/>
    </row>
    <row r="3" spans="1:7">
      <c r="A3" s="16" t="s">
        <v>249</v>
      </c>
      <c r="B3" s="16" t="s">
        <v>250</v>
      </c>
      <c r="C3" s="16" t="s">
        <v>251</v>
      </c>
      <c r="D3" s="16" t="s">
        <v>252</v>
      </c>
      <c r="E3" s="16" t="s">
        <v>253</v>
      </c>
      <c r="F3" s="16" t="s">
        <v>254</v>
      </c>
    </row>
    <row r="4" spans="1:7">
      <c r="A4" s="2" t="s">
        <v>255</v>
      </c>
      <c r="B4" s="19">
        <f>SUM('ARR-Waterfall'!B14:M14)</f>
        <v>0</v>
      </c>
      <c r="C4" s="19">
        <f>SUM('ARR-Waterfall'!N14:Y14)</f>
        <v>0</v>
      </c>
      <c r="D4" s="19">
        <f>SUM('ARR-Waterfall'!Z14:AK14)</f>
        <v>0</v>
      </c>
      <c r="E4" s="19">
        <f>SUM('ARR-Waterfall'!AL14:AW14)</f>
        <v>0</v>
      </c>
      <c r="F4" s="19">
        <f>SUM('ARR-Waterfall'!AX14:BI14)</f>
        <v>0</v>
      </c>
    </row>
    <row r="5" spans="1:7">
      <c r="A5" s="2" t="s">
        <v>256</v>
      </c>
      <c r="B5" s="19">
        <f>B4*0.05*(1=1)+B4*0.03*(1=2)</f>
        <v>0</v>
      </c>
      <c r="C5" s="19">
        <f>B4*0.05*(2=1)+B4*0.03*(2=2)</f>
        <v>0</v>
      </c>
      <c r="D5" s="19">
        <f>B4*0.05*(3=1)+B4*0.03*(3=2)</f>
        <v>0</v>
      </c>
      <c r="E5" s="19">
        <f>B4*0.05*(4=1)+B4*0.03*(4=2)</f>
        <v>0</v>
      </c>
      <c r="F5" s="19">
        <f>B4*0.05*(5=1)+B4*0.03*(5=2)</f>
        <v>0</v>
      </c>
    </row>
    <row r="6" spans="1:7">
      <c r="A6" s="2" t="s">
        <v>257</v>
      </c>
      <c r="B6" s="10">
        <f>B4+B5</f>
        <v>0</v>
      </c>
      <c r="C6" s="10">
        <f>C4+C5</f>
        <v>0</v>
      </c>
      <c r="D6" s="10">
        <f>D4+D5</f>
        <v>0</v>
      </c>
      <c r="E6" s="10">
        <f>E4+E5</f>
        <v>0</v>
      </c>
      <c r="F6" s="10">
        <f>F4+F5</f>
        <v>0</v>
      </c>
    </row>
    <row r="7" spans="1:7">
      <c r="A7" s="2" t="s">
        <v>258</v>
      </c>
      <c r="B7" s="19">
        <f>B6*COGS_PCT</f>
        <v>0</v>
      </c>
      <c r="C7" s="19">
        <f>C6*COGS_PCT</f>
        <v>0</v>
      </c>
      <c r="D7" s="19">
        <f>D6*COGS_PCT</f>
        <v>0</v>
      </c>
      <c r="E7" s="19">
        <f>E6*COGS_PCT</f>
        <v>0</v>
      </c>
      <c r="F7" s="19">
        <f>F6*COGS_PCT</f>
        <v>0</v>
      </c>
    </row>
    <row r="8" spans="1:7">
      <c r="A8" s="2" t="s">
        <v>259</v>
      </c>
      <c r="B8" s="10">
        <f>B6-B7</f>
        <v>0</v>
      </c>
      <c r="C8" s="10">
        <f>C6-C7</f>
        <v>0</v>
      </c>
      <c r="D8" s="10">
        <f>D6-D7</f>
        <v>0</v>
      </c>
      <c r="E8" s="10">
        <f>E6-E7</f>
        <v>0</v>
      </c>
      <c r="F8" s="10">
        <f>F6-F7</f>
        <v>0</v>
      </c>
    </row>
    <row r="9" spans="1:7">
      <c r="A9" s="2" t="s">
        <v>260</v>
      </c>
      <c r="B9" s="13">
        <f>B8/B6</f>
        <v>0</v>
      </c>
      <c r="C9" s="13">
        <f>C8/C6</f>
        <v>0</v>
      </c>
      <c r="D9" s="13">
        <f>D8/D6</f>
        <v>0</v>
      </c>
      <c r="E9" s="13">
        <f>E8/E6</f>
        <v>0</v>
      </c>
      <c r="F9" s="13">
        <f>F8/F6</f>
        <v>0</v>
      </c>
    </row>
    <row r="10" spans="1:7">
      <c r="A10" s="2" t="s">
        <v>261</v>
      </c>
      <c r="B10" s="19">
        <f>B6*IF(1=1,SM_Y1,IF(1=2,SM_Y2,SM_Y3p))</f>
        <v>0</v>
      </c>
      <c r="C10" s="19">
        <f>C6*IF(2=1,SM_Y1,IF(2=2,SM_Y2,SM_Y3p))</f>
        <v>0</v>
      </c>
      <c r="D10" s="19">
        <f>D6*IF(3=1,SM_Y1,IF(3=2,SM_Y2,SM_Y3p))</f>
        <v>0</v>
      </c>
      <c r="E10" s="19">
        <f>E6*IF(4=1,SM_Y1,IF(4=2,SM_Y2,SM_Y3p))</f>
        <v>0</v>
      </c>
      <c r="F10" s="19">
        <f>F6*IF(5=1,SM_Y1,IF(5=2,SM_Y2,SM_Y3p))</f>
        <v>0</v>
      </c>
    </row>
    <row r="11" spans="1:7">
      <c r="A11" s="2" t="s">
        <v>262</v>
      </c>
      <c r="B11" s="19">
        <f>B6*IF(1=1,RD_Y1,IF(1=2,RD_Y2,RD_Y3p))</f>
        <v>0</v>
      </c>
      <c r="C11" s="19">
        <f>C6*IF(2=1,RD_Y1,IF(2=2,RD_Y2,RD_Y3p))</f>
        <v>0</v>
      </c>
      <c r="D11" s="19">
        <f>D6*IF(3=1,RD_Y1,IF(3=2,RD_Y2,RD_Y3p))</f>
        <v>0</v>
      </c>
      <c r="E11" s="19">
        <f>E6*IF(4=1,RD_Y1,IF(4=2,RD_Y2,RD_Y3p))</f>
        <v>0</v>
      </c>
      <c r="F11" s="19">
        <f>F6*IF(5=1,RD_Y1,IF(5=2,RD_Y2,RD_Y3p))</f>
        <v>0</v>
      </c>
    </row>
    <row r="12" spans="1:7">
      <c r="A12" s="2" t="s">
        <v>263</v>
      </c>
      <c r="B12" s="19">
        <f>IF(1=1,GA_Y1*12,IF(1=2,GA_Y2*12,GA_Y3p*12))</f>
        <v>0</v>
      </c>
      <c r="C12" s="19">
        <f>IF(2=1,GA_Y1*12,IF(2=2,GA_Y2*12,GA_Y3p*12))</f>
        <v>0</v>
      </c>
      <c r="D12" s="19">
        <f>IF(3=1,GA_Y1*12,IF(3=2,GA_Y2*12,GA_Y3p*12))</f>
        <v>0</v>
      </c>
      <c r="E12" s="19">
        <f>IF(4=1,GA_Y1*12,IF(4=2,GA_Y2*12,GA_Y3p*12))</f>
        <v>0</v>
      </c>
      <c r="F12" s="19">
        <f>IF(5=1,GA_Y1*12,IF(5=2,GA_Y2*12,GA_Y3p*12))</f>
        <v>0</v>
      </c>
    </row>
    <row r="13" spans="1:7">
      <c r="A13" s="2" t="s">
        <v>264</v>
      </c>
      <c r="B13" s="10">
        <f>B10+B11+B12</f>
        <v>0</v>
      </c>
      <c r="C13" s="10">
        <f>C10+C11+C12</f>
        <v>0</v>
      </c>
      <c r="D13" s="10">
        <f>D10+D11+D12</f>
        <v>0</v>
      </c>
      <c r="E13" s="10">
        <f>E10+E11+E12</f>
        <v>0</v>
      </c>
      <c r="F13" s="10">
        <f>F10+F11+F12</f>
        <v>0</v>
      </c>
    </row>
    <row r="14" spans="1:7">
      <c r="A14" s="2" t="s">
        <v>265</v>
      </c>
      <c r="B14" s="10">
        <f>B8-B13</f>
        <v>0</v>
      </c>
      <c r="C14" s="10">
        <f>C8-C13</f>
        <v>0</v>
      </c>
      <c r="D14" s="10">
        <f>D8-D13</f>
        <v>0</v>
      </c>
      <c r="E14" s="10">
        <f>E8-E13</f>
        <v>0</v>
      </c>
      <c r="F14" s="10">
        <f>F8-F13</f>
        <v>0</v>
      </c>
    </row>
    <row r="15" spans="1:7">
      <c r="A15" s="2" t="s">
        <v>266</v>
      </c>
      <c r="B15" s="13">
        <f>B14/B6</f>
        <v>0</v>
      </c>
      <c r="C15" s="13">
        <f>C14/C6</f>
        <v>0</v>
      </c>
      <c r="D15" s="13">
        <f>D14/D6</f>
        <v>0</v>
      </c>
      <c r="E15" s="13">
        <f>E14/E6</f>
        <v>0</v>
      </c>
      <c r="F15" s="13">
        <f>F14/F6</f>
        <v>0</v>
      </c>
    </row>
    <row r="16" spans="1:7">
      <c r="A16" s="2" t="s">
        <v>267</v>
      </c>
      <c r="B16" s="19">
        <f>IF(1=1,Capex_Y1,IF(1=2,Capex_Y2,IF(1=3,Capex_Y3,IF(1=4,Capex_Y4,Capex_Y5))))/5</f>
        <v>0</v>
      </c>
      <c r="C16" s="19">
        <f>IF(2=1,Capex_Y1,IF(2=2,Capex_Y2,IF(2=3,Capex_Y3,IF(2=4,Capex_Y4,Capex_Y5))))/5</f>
        <v>0</v>
      </c>
      <c r="D16" s="19">
        <f>IF(3=1,Capex_Y1,IF(3=2,Capex_Y2,IF(3=3,Capex_Y3,IF(3=4,Capex_Y4,Capex_Y5))))/5</f>
        <v>0</v>
      </c>
      <c r="E16" s="19">
        <f>IF(4=1,Capex_Y1,IF(4=2,Capex_Y2,IF(4=3,Capex_Y3,IF(4=4,Capex_Y4,Capex_Y5))))/5</f>
        <v>0</v>
      </c>
      <c r="F16" s="19">
        <f>IF(5=1,Capex_Y1,IF(5=2,Capex_Y2,IF(5=3,Capex_Y3,IF(5=4,Capex_Y4,Capex_Y5))))/5</f>
        <v>0</v>
      </c>
    </row>
    <row r="17" spans="1:6">
      <c r="A17" s="2" t="s">
        <v>268</v>
      </c>
      <c r="B17" s="19">
        <f>B6*0.05</f>
        <v>0</v>
      </c>
      <c r="C17" s="19">
        <f>C6*0.05</f>
        <v>0</v>
      </c>
      <c r="D17" s="19">
        <f>D6*0.05</f>
        <v>0</v>
      </c>
      <c r="E17" s="19">
        <f>E6*0.05</f>
        <v>0</v>
      </c>
      <c r="F17" s="19">
        <f>F6*0.05</f>
        <v>0</v>
      </c>
    </row>
    <row r="18" spans="1:6">
      <c r="A18" s="2" t="s">
        <v>269</v>
      </c>
      <c r="B18" s="10">
        <f>B14+B16+B17</f>
        <v>0</v>
      </c>
      <c r="C18" s="10">
        <f>C14+C16+C17</f>
        <v>0</v>
      </c>
      <c r="D18" s="10">
        <f>D14+D16+D17</f>
        <v>0</v>
      </c>
      <c r="E18" s="10">
        <f>E14+E16+E17</f>
        <v>0</v>
      </c>
      <c r="F18" s="10">
        <f>F14+F16+F17</f>
        <v>0</v>
      </c>
    </row>
    <row r="19" spans="1:6">
      <c r="A19" s="2" t="s">
        <v>270</v>
      </c>
      <c r="B19" s="13">
        <f>B18/B6</f>
        <v>0</v>
      </c>
      <c r="C19" s="13">
        <f>C18/C6</f>
        <v>0</v>
      </c>
      <c r="D19" s="13">
        <f>D18/D6</f>
        <v>0</v>
      </c>
      <c r="E19" s="13">
        <f>E18/E6</f>
        <v>0</v>
      </c>
      <c r="F19" s="13">
        <f>F18/F6</f>
        <v>0</v>
      </c>
    </row>
    <row r="20" spans="1:6">
      <c r="A20" s="2" t="s">
        <v>271</v>
      </c>
      <c r="B20" s="19">
        <f>MAX(0,B14)*Tax_Rate</f>
        <v>0</v>
      </c>
      <c r="C20" s="19">
        <f>MAX(0,C14)*Tax_Rate</f>
        <v>0</v>
      </c>
      <c r="D20" s="19">
        <f>MAX(0,D14)*Tax_Rate</f>
        <v>0</v>
      </c>
      <c r="E20" s="19">
        <f>MAX(0,E14)*Tax_Rate</f>
        <v>0</v>
      </c>
      <c r="F20" s="19">
        <f>MAX(0,F14)*Tax_Rate</f>
        <v>0</v>
      </c>
    </row>
    <row r="21" spans="1:6">
      <c r="A21" s="2" t="s">
        <v>272</v>
      </c>
      <c r="B21" s="10">
        <f>B14-B20</f>
        <v>0</v>
      </c>
      <c r="C21" s="10">
        <f>C14-C20</f>
        <v>0</v>
      </c>
      <c r="D21" s="10">
        <f>D14-D20</f>
        <v>0</v>
      </c>
      <c r="E21" s="10">
        <f>E14-E20</f>
        <v>0</v>
      </c>
      <c r="F21" s="10">
        <f>F14-F20</f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20"/>
  <sheetViews>
    <sheetView workbookViewId="0"/>
  </sheetViews>
  <sheetFormatPr defaultRowHeight="15"/>
  <cols>
    <col min="1" max="1" width="32.7109375" customWidth="1"/>
    <col min="2" max="60" width="11.7109375" customWidth="1"/>
  </cols>
  <sheetData>
    <row r="1" spans="1:61" ht="28" customHeight="1">
      <c r="A1" s="1" t="s">
        <v>273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spans="1:61">
      <c r="A3" s="16" t="s">
        <v>137</v>
      </c>
      <c r="B3" s="16" t="s">
        <v>138</v>
      </c>
      <c r="C3" s="16" t="s">
        <v>139</v>
      </c>
      <c r="D3" s="16" t="s">
        <v>140</v>
      </c>
      <c r="E3" s="16" t="s">
        <v>141</v>
      </c>
      <c r="F3" s="16" t="s">
        <v>142</v>
      </c>
      <c r="G3" s="16" t="s">
        <v>143</v>
      </c>
      <c r="H3" s="16" t="s">
        <v>144</v>
      </c>
      <c r="I3" s="16" t="s">
        <v>145</v>
      </c>
      <c r="J3" s="16" t="s">
        <v>146</v>
      </c>
      <c r="K3" s="16" t="s">
        <v>147</v>
      </c>
      <c r="L3" s="16" t="s">
        <v>148</v>
      </c>
      <c r="M3" s="16" t="s">
        <v>149</v>
      </c>
      <c r="N3" s="16" t="s">
        <v>150</v>
      </c>
      <c r="O3" s="16" t="s">
        <v>151</v>
      </c>
      <c r="P3" s="16" t="s">
        <v>152</v>
      </c>
      <c r="Q3" s="16" t="s">
        <v>153</v>
      </c>
      <c r="R3" s="16" t="s">
        <v>154</v>
      </c>
      <c r="S3" s="16" t="s">
        <v>155</v>
      </c>
      <c r="T3" s="16" t="s">
        <v>156</v>
      </c>
      <c r="U3" s="16" t="s">
        <v>157</v>
      </c>
      <c r="V3" s="16" t="s">
        <v>158</v>
      </c>
      <c r="W3" s="16" t="s">
        <v>159</v>
      </c>
      <c r="X3" s="16" t="s">
        <v>160</v>
      </c>
      <c r="Y3" s="16" t="s">
        <v>161</v>
      </c>
      <c r="Z3" s="16" t="s">
        <v>162</v>
      </c>
      <c r="AA3" s="16" t="s">
        <v>163</v>
      </c>
      <c r="AB3" s="16" t="s">
        <v>164</v>
      </c>
      <c r="AC3" s="16" t="s">
        <v>165</v>
      </c>
      <c r="AD3" s="16" t="s">
        <v>166</v>
      </c>
      <c r="AE3" s="16" t="s">
        <v>167</v>
      </c>
      <c r="AF3" s="16" t="s">
        <v>168</v>
      </c>
      <c r="AG3" s="16" t="s">
        <v>169</v>
      </c>
      <c r="AH3" s="16" t="s">
        <v>170</v>
      </c>
      <c r="AI3" s="16" t="s">
        <v>171</v>
      </c>
      <c r="AJ3" s="16" t="s">
        <v>172</v>
      </c>
      <c r="AK3" s="16" t="s">
        <v>173</v>
      </c>
      <c r="AL3" s="16" t="s">
        <v>174</v>
      </c>
      <c r="AM3" s="16" t="s">
        <v>175</v>
      </c>
      <c r="AN3" s="16" t="s">
        <v>176</v>
      </c>
      <c r="AO3" s="16" t="s">
        <v>177</v>
      </c>
      <c r="AP3" s="16" t="s">
        <v>178</v>
      </c>
      <c r="AQ3" s="16" t="s">
        <v>179</v>
      </c>
      <c r="AR3" s="16" t="s">
        <v>180</v>
      </c>
      <c r="AS3" s="16" t="s">
        <v>181</v>
      </c>
      <c r="AT3" s="16" t="s">
        <v>182</v>
      </c>
      <c r="AU3" s="16" t="s">
        <v>183</v>
      </c>
      <c r="AV3" s="16" t="s">
        <v>184</v>
      </c>
      <c r="AW3" s="16" t="s">
        <v>185</v>
      </c>
      <c r="AX3" s="16" t="s">
        <v>186</v>
      </c>
      <c r="AY3" s="16" t="s">
        <v>187</v>
      </c>
      <c r="AZ3" s="16" t="s">
        <v>188</v>
      </c>
      <c r="BA3" s="16" t="s">
        <v>189</v>
      </c>
      <c r="BB3" s="16" t="s">
        <v>190</v>
      </c>
      <c r="BC3" s="16" t="s">
        <v>191</v>
      </c>
      <c r="BD3" s="16" t="s">
        <v>192</v>
      </c>
      <c r="BE3" s="16" t="s">
        <v>193</v>
      </c>
      <c r="BF3" s="16" t="s">
        <v>194</v>
      </c>
      <c r="BG3" s="16" t="s">
        <v>195</v>
      </c>
      <c r="BH3" s="16" t="s">
        <v>196</v>
      </c>
      <c r="BI3" s="16" t="s">
        <v>197</v>
      </c>
    </row>
    <row r="4" spans="1:61">
      <c r="A4" s="2" t="s">
        <v>274</v>
      </c>
      <c r="B4" s="19">
        <f>'ARR-Waterfall'!B14</f>
        <v>0</v>
      </c>
      <c r="C4" s="19">
        <f>'ARR-Waterfall'!C14</f>
        <v>0</v>
      </c>
      <c r="D4" s="19">
        <f>'ARR-Waterfall'!D14</f>
        <v>0</v>
      </c>
      <c r="E4" s="19">
        <f>'ARR-Waterfall'!E14</f>
        <v>0</v>
      </c>
      <c r="F4" s="19">
        <f>'ARR-Waterfall'!F14</f>
        <v>0</v>
      </c>
      <c r="G4" s="19">
        <f>'ARR-Waterfall'!G14</f>
        <v>0</v>
      </c>
      <c r="H4" s="19">
        <f>'ARR-Waterfall'!H14</f>
        <v>0</v>
      </c>
      <c r="I4" s="19">
        <f>'ARR-Waterfall'!I14</f>
        <v>0</v>
      </c>
      <c r="J4" s="19">
        <f>'ARR-Waterfall'!J14</f>
        <v>0</v>
      </c>
      <c r="K4" s="19">
        <f>'ARR-Waterfall'!K14</f>
        <v>0</v>
      </c>
      <c r="L4" s="19">
        <f>'ARR-Waterfall'!L14</f>
        <v>0</v>
      </c>
      <c r="M4" s="19">
        <f>'ARR-Waterfall'!M14</f>
        <v>0</v>
      </c>
      <c r="N4" s="19">
        <f>'ARR-Waterfall'!N14</f>
        <v>0</v>
      </c>
      <c r="O4" s="19">
        <f>'ARR-Waterfall'!O14</f>
        <v>0</v>
      </c>
      <c r="P4" s="19">
        <f>'ARR-Waterfall'!P14</f>
        <v>0</v>
      </c>
      <c r="Q4" s="19">
        <f>'ARR-Waterfall'!Q14</f>
        <v>0</v>
      </c>
      <c r="R4" s="19">
        <f>'ARR-Waterfall'!R14</f>
        <v>0</v>
      </c>
      <c r="S4" s="19">
        <f>'ARR-Waterfall'!S14</f>
        <v>0</v>
      </c>
      <c r="T4" s="19">
        <f>'ARR-Waterfall'!T14</f>
        <v>0</v>
      </c>
      <c r="U4" s="19">
        <f>'ARR-Waterfall'!U14</f>
        <v>0</v>
      </c>
      <c r="V4" s="19">
        <f>'ARR-Waterfall'!V14</f>
        <v>0</v>
      </c>
      <c r="W4" s="19">
        <f>'ARR-Waterfall'!W14</f>
        <v>0</v>
      </c>
      <c r="X4" s="19">
        <f>'ARR-Waterfall'!X14</f>
        <v>0</v>
      </c>
      <c r="Y4" s="19">
        <f>'ARR-Waterfall'!Y14</f>
        <v>0</v>
      </c>
      <c r="Z4" s="19">
        <f>'ARR-Waterfall'!Z14</f>
        <v>0</v>
      </c>
      <c r="AA4" s="19">
        <f>'ARR-Waterfall'!AA14</f>
        <v>0</v>
      </c>
      <c r="AB4" s="19">
        <f>'ARR-Waterfall'!AB14</f>
        <v>0</v>
      </c>
      <c r="AC4" s="19">
        <f>'ARR-Waterfall'!AC14</f>
        <v>0</v>
      </c>
      <c r="AD4" s="19">
        <f>'ARR-Waterfall'!AD14</f>
        <v>0</v>
      </c>
      <c r="AE4" s="19">
        <f>'ARR-Waterfall'!AE14</f>
        <v>0</v>
      </c>
      <c r="AF4" s="19">
        <f>'ARR-Waterfall'!AF14</f>
        <v>0</v>
      </c>
      <c r="AG4" s="19">
        <f>'ARR-Waterfall'!AG14</f>
        <v>0</v>
      </c>
      <c r="AH4" s="19">
        <f>'ARR-Waterfall'!AH14</f>
        <v>0</v>
      </c>
      <c r="AI4" s="19">
        <f>'ARR-Waterfall'!AI14</f>
        <v>0</v>
      </c>
      <c r="AJ4" s="19">
        <f>'ARR-Waterfall'!AJ14</f>
        <v>0</v>
      </c>
      <c r="AK4" s="19">
        <f>'ARR-Waterfall'!AK14</f>
        <v>0</v>
      </c>
      <c r="AL4" s="19">
        <f>'ARR-Waterfall'!AL14</f>
        <v>0</v>
      </c>
      <c r="AM4" s="19">
        <f>'ARR-Waterfall'!AM14</f>
        <v>0</v>
      </c>
      <c r="AN4" s="19">
        <f>'ARR-Waterfall'!AN14</f>
        <v>0</v>
      </c>
      <c r="AO4" s="19">
        <f>'ARR-Waterfall'!AO14</f>
        <v>0</v>
      </c>
      <c r="AP4" s="19">
        <f>'ARR-Waterfall'!AP14</f>
        <v>0</v>
      </c>
      <c r="AQ4" s="19">
        <f>'ARR-Waterfall'!AQ14</f>
        <v>0</v>
      </c>
      <c r="AR4" s="19">
        <f>'ARR-Waterfall'!AR14</f>
        <v>0</v>
      </c>
      <c r="AS4" s="19">
        <f>'ARR-Waterfall'!AS14</f>
        <v>0</v>
      </c>
      <c r="AT4" s="19">
        <f>'ARR-Waterfall'!AT14</f>
        <v>0</v>
      </c>
      <c r="AU4" s="19">
        <f>'ARR-Waterfall'!AU14</f>
        <v>0</v>
      </c>
      <c r="AV4" s="19">
        <f>'ARR-Waterfall'!AV14</f>
        <v>0</v>
      </c>
      <c r="AW4" s="19">
        <f>'ARR-Waterfall'!AW14</f>
        <v>0</v>
      </c>
      <c r="AX4" s="19">
        <f>'ARR-Waterfall'!AX14</f>
        <v>0</v>
      </c>
      <c r="AY4" s="19">
        <f>'ARR-Waterfall'!AY14</f>
        <v>0</v>
      </c>
      <c r="AZ4" s="19">
        <f>'ARR-Waterfall'!AZ14</f>
        <v>0</v>
      </c>
      <c r="BA4" s="19">
        <f>'ARR-Waterfall'!BA14</f>
        <v>0</v>
      </c>
      <c r="BB4" s="19">
        <f>'ARR-Waterfall'!BB14</f>
        <v>0</v>
      </c>
      <c r="BC4" s="19">
        <f>'ARR-Waterfall'!BC14</f>
        <v>0</v>
      </c>
      <c r="BD4" s="19">
        <f>'ARR-Waterfall'!BD14</f>
        <v>0</v>
      </c>
      <c r="BE4" s="19">
        <f>'ARR-Waterfall'!BE14</f>
        <v>0</v>
      </c>
      <c r="BF4" s="19">
        <f>'ARR-Waterfall'!BF14</f>
        <v>0</v>
      </c>
      <c r="BG4" s="19">
        <f>'ARR-Waterfall'!BG14</f>
        <v>0</v>
      </c>
      <c r="BH4" s="19">
        <f>'ARR-Waterfall'!BH14</f>
        <v>0</v>
      </c>
      <c r="BI4" s="19">
        <f>'ARR-Waterfall'!BI14</f>
        <v>0</v>
      </c>
    </row>
    <row r="5" spans="1:61">
      <c r="A5" s="2" t="s">
        <v>275</v>
      </c>
      <c r="B5" s="19">
        <f>B4*COGS_PCT</f>
        <v>0</v>
      </c>
      <c r="C5" s="19">
        <f>C4*COGS_PCT</f>
        <v>0</v>
      </c>
      <c r="D5" s="19">
        <f>D4*COGS_PCT</f>
        <v>0</v>
      </c>
      <c r="E5" s="19">
        <f>E4*COGS_PCT</f>
        <v>0</v>
      </c>
      <c r="F5" s="19">
        <f>F4*COGS_PCT</f>
        <v>0</v>
      </c>
      <c r="G5" s="19">
        <f>G4*COGS_PCT</f>
        <v>0</v>
      </c>
      <c r="H5" s="19">
        <f>H4*COGS_PCT</f>
        <v>0</v>
      </c>
      <c r="I5" s="19">
        <f>I4*COGS_PCT</f>
        <v>0</v>
      </c>
      <c r="J5" s="19">
        <f>J4*COGS_PCT</f>
        <v>0</v>
      </c>
      <c r="K5" s="19">
        <f>K4*COGS_PCT</f>
        <v>0</v>
      </c>
      <c r="L5" s="19">
        <f>L4*COGS_PCT</f>
        <v>0</v>
      </c>
      <c r="M5" s="19">
        <f>M4*COGS_PCT</f>
        <v>0</v>
      </c>
      <c r="N5" s="19">
        <f>N4*COGS_PCT</f>
        <v>0</v>
      </c>
      <c r="O5" s="19">
        <f>O4*COGS_PCT</f>
        <v>0</v>
      </c>
      <c r="P5" s="19">
        <f>P4*COGS_PCT</f>
        <v>0</v>
      </c>
      <c r="Q5" s="19">
        <f>Q4*COGS_PCT</f>
        <v>0</v>
      </c>
      <c r="R5" s="19">
        <f>R4*COGS_PCT</f>
        <v>0</v>
      </c>
      <c r="S5" s="19">
        <f>S4*COGS_PCT</f>
        <v>0</v>
      </c>
      <c r="T5" s="19">
        <f>T4*COGS_PCT</f>
        <v>0</v>
      </c>
      <c r="U5" s="19">
        <f>U4*COGS_PCT</f>
        <v>0</v>
      </c>
      <c r="V5" s="19">
        <f>V4*COGS_PCT</f>
        <v>0</v>
      </c>
      <c r="W5" s="19">
        <f>W4*COGS_PCT</f>
        <v>0</v>
      </c>
      <c r="X5" s="19">
        <f>X4*COGS_PCT</f>
        <v>0</v>
      </c>
      <c r="Y5" s="19">
        <f>Y4*COGS_PCT</f>
        <v>0</v>
      </c>
      <c r="Z5" s="19">
        <f>Z4*COGS_PCT</f>
        <v>0</v>
      </c>
      <c r="AA5" s="19">
        <f>AA4*COGS_PCT</f>
        <v>0</v>
      </c>
      <c r="AB5" s="19">
        <f>AB4*COGS_PCT</f>
        <v>0</v>
      </c>
      <c r="AC5" s="19">
        <f>AC4*COGS_PCT</f>
        <v>0</v>
      </c>
      <c r="AD5" s="19">
        <f>AD4*COGS_PCT</f>
        <v>0</v>
      </c>
      <c r="AE5" s="19">
        <f>AE4*COGS_PCT</f>
        <v>0</v>
      </c>
      <c r="AF5" s="19">
        <f>AF4*COGS_PCT</f>
        <v>0</v>
      </c>
      <c r="AG5" s="19">
        <f>AG4*COGS_PCT</f>
        <v>0</v>
      </c>
      <c r="AH5" s="19">
        <f>AH4*COGS_PCT</f>
        <v>0</v>
      </c>
      <c r="AI5" s="19">
        <f>AI4*COGS_PCT</f>
        <v>0</v>
      </c>
      <c r="AJ5" s="19">
        <f>AJ4*COGS_PCT</f>
        <v>0</v>
      </c>
      <c r="AK5" s="19">
        <f>AK4*COGS_PCT</f>
        <v>0</v>
      </c>
      <c r="AL5" s="19">
        <f>AL4*COGS_PCT</f>
        <v>0</v>
      </c>
      <c r="AM5" s="19">
        <f>AM4*COGS_PCT</f>
        <v>0</v>
      </c>
      <c r="AN5" s="19">
        <f>AN4*COGS_PCT</f>
        <v>0</v>
      </c>
      <c r="AO5" s="19">
        <f>AO4*COGS_PCT</f>
        <v>0</v>
      </c>
      <c r="AP5" s="19">
        <f>AP4*COGS_PCT</f>
        <v>0</v>
      </c>
      <c r="AQ5" s="19">
        <f>AQ4*COGS_PCT</f>
        <v>0</v>
      </c>
      <c r="AR5" s="19">
        <f>AR4*COGS_PCT</f>
        <v>0</v>
      </c>
      <c r="AS5" s="19">
        <f>AS4*COGS_PCT</f>
        <v>0</v>
      </c>
      <c r="AT5" s="19">
        <f>AT4*COGS_PCT</f>
        <v>0</v>
      </c>
      <c r="AU5" s="19">
        <f>AU4*COGS_PCT</f>
        <v>0</v>
      </c>
      <c r="AV5" s="19">
        <f>AV4*COGS_PCT</f>
        <v>0</v>
      </c>
      <c r="AW5" s="19">
        <f>AW4*COGS_PCT</f>
        <v>0</v>
      </c>
      <c r="AX5" s="19">
        <f>AX4*COGS_PCT</f>
        <v>0</v>
      </c>
      <c r="AY5" s="19">
        <f>AY4*COGS_PCT</f>
        <v>0</v>
      </c>
      <c r="AZ5" s="19">
        <f>AZ4*COGS_PCT</f>
        <v>0</v>
      </c>
      <c r="BA5" s="19">
        <f>BA4*COGS_PCT</f>
        <v>0</v>
      </c>
      <c r="BB5" s="19">
        <f>BB4*COGS_PCT</f>
        <v>0</v>
      </c>
      <c r="BC5" s="19">
        <f>BC4*COGS_PCT</f>
        <v>0</v>
      </c>
      <c r="BD5" s="19">
        <f>BD4*COGS_PCT</f>
        <v>0</v>
      </c>
      <c r="BE5" s="19">
        <f>BE4*COGS_PCT</f>
        <v>0</v>
      </c>
      <c r="BF5" s="19">
        <f>BF4*COGS_PCT</f>
        <v>0</v>
      </c>
      <c r="BG5" s="19">
        <f>BG4*COGS_PCT</f>
        <v>0</v>
      </c>
      <c r="BH5" s="19">
        <f>BH4*COGS_PCT</f>
        <v>0</v>
      </c>
      <c r="BI5" s="19">
        <f>BI4*COGS_PCT</f>
        <v>0</v>
      </c>
    </row>
    <row r="6" spans="1:61">
      <c r="A6" s="2" t="s">
        <v>276</v>
      </c>
      <c r="B6" s="19">
        <f>B4-B5</f>
        <v>0</v>
      </c>
      <c r="C6" s="19">
        <f>C4-C5</f>
        <v>0</v>
      </c>
      <c r="D6" s="19">
        <f>D4-D5</f>
        <v>0</v>
      </c>
      <c r="E6" s="19">
        <f>E4-E5</f>
        <v>0</v>
      </c>
      <c r="F6" s="19">
        <f>F4-F5</f>
        <v>0</v>
      </c>
      <c r="G6" s="19">
        <f>G4-G5</f>
        <v>0</v>
      </c>
      <c r="H6" s="19">
        <f>H4-H5</f>
        <v>0</v>
      </c>
      <c r="I6" s="19">
        <f>I4-I5</f>
        <v>0</v>
      </c>
      <c r="J6" s="19">
        <f>J4-J5</f>
        <v>0</v>
      </c>
      <c r="K6" s="19">
        <f>K4-K5</f>
        <v>0</v>
      </c>
      <c r="L6" s="19">
        <f>L4-L5</f>
        <v>0</v>
      </c>
      <c r="M6" s="19">
        <f>M4-M5</f>
        <v>0</v>
      </c>
      <c r="N6" s="19">
        <f>N4-N5</f>
        <v>0</v>
      </c>
      <c r="O6" s="19">
        <f>O4-O5</f>
        <v>0</v>
      </c>
      <c r="P6" s="19">
        <f>P4-P5</f>
        <v>0</v>
      </c>
      <c r="Q6" s="19">
        <f>Q4-Q5</f>
        <v>0</v>
      </c>
      <c r="R6" s="19">
        <f>R4-R5</f>
        <v>0</v>
      </c>
      <c r="S6" s="19">
        <f>S4-S5</f>
        <v>0</v>
      </c>
      <c r="T6" s="19">
        <f>T4-T5</f>
        <v>0</v>
      </c>
      <c r="U6" s="19">
        <f>U4-U5</f>
        <v>0</v>
      </c>
      <c r="V6" s="19">
        <f>V4-V5</f>
        <v>0</v>
      </c>
      <c r="W6" s="19">
        <f>W4-W5</f>
        <v>0</v>
      </c>
      <c r="X6" s="19">
        <f>X4-X5</f>
        <v>0</v>
      </c>
      <c r="Y6" s="19">
        <f>Y4-Y5</f>
        <v>0</v>
      </c>
      <c r="Z6" s="19">
        <f>Z4-Z5</f>
        <v>0</v>
      </c>
      <c r="AA6" s="19">
        <f>AA4-AA5</f>
        <v>0</v>
      </c>
      <c r="AB6" s="19">
        <f>AB4-AB5</f>
        <v>0</v>
      </c>
      <c r="AC6" s="19">
        <f>AC4-AC5</f>
        <v>0</v>
      </c>
      <c r="AD6" s="19">
        <f>AD4-AD5</f>
        <v>0</v>
      </c>
      <c r="AE6" s="19">
        <f>AE4-AE5</f>
        <v>0</v>
      </c>
      <c r="AF6" s="19">
        <f>AF4-AF5</f>
        <v>0</v>
      </c>
      <c r="AG6" s="19">
        <f>AG4-AG5</f>
        <v>0</v>
      </c>
      <c r="AH6" s="19">
        <f>AH4-AH5</f>
        <v>0</v>
      </c>
      <c r="AI6" s="19">
        <f>AI4-AI5</f>
        <v>0</v>
      </c>
      <c r="AJ6" s="19">
        <f>AJ4-AJ5</f>
        <v>0</v>
      </c>
      <c r="AK6" s="19">
        <f>AK4-AK5</f>
        <v>0</v>
      </c>
      <c r="AL6" s="19">
        <f>AL4-AL5</f>
        <v>0</v>
      </c>
      <c r="AM6" s="19">
        <f>AM4-AM5</f>
        <v>0</v>
      </c>
      <c r="AN6" s="19">
        <f>AN4-AN5</f>
        <v>0</v>
      </c>
      <c r="AO6" s="19">
        <f>AO4-AO5</f>
        <v>0</v>
      </c>
      <c r="AP6" s="19">
        <f>AP4-AP5</f>
        <v>0</v>
      </c>
      <c r="AQ6" s="19">
        <f>AQ4-AQ5</f>
        <v>0</v>
      </c>
      <c r="AR6" s="19">
        <f>AR4-AR5</f>
        <v>0</v>
      </c>
      <c r="AS6" s="19">
        <f>AS4-AS5</f>
        <v>0</v>
      </c>
      <c r="AT6" s="19">
        <f>AT4-AT5</f>
        <v>0</v>
      </c>
      <c r="AU6" s="19">
        <f>AU4-AU5</f>
        <v>0</v>
      </c>
      <c r="AV6" s="19">
        <f>AV4-AV5</f>
        <v>0</v>
      </c>
      <c r="AW6" s="19">
        <f>AW4-AW5</f>
        <v>0</v>
      </c>
      <c r="AX6" s="19">
        <f>AX4-AX5</f>
        <v>0</v>
      </c>
      <c r="AY6" s="19">
        <f>AY4-AY5</f>
        <v>0</v>
      </c>
      <c r="AZ6" s="19">
        <f>AZ4-AZ5</f>
        <v>0</v>
      </c>
      <c r="BA6" s="19">
        <f>BA4-BA5</f>
        <v>0</v>
      </c>
      <c r="BB6" s="19">
        <f>BB4-BB5</f>
        <v>0</v>
      </c>
      <c r="BC6" s="19">
        <f>BC4-BC5</f>
        <v>0</v>
      </c>
      <c r="BD6" s="19">
        <f>BD4-BD5</f>
        <v>0</v>
      </c>
      <c r="BE6" s="19">
        <f>BE4-BE5</f>
        <v>0</v>
      </c>
      <c r="BF6" s="19">
        <f>BF4-BF5</f>
        <v>0</v>
      </c>
      <c r="BG6" s="19">
        <f>BG4-BG5</f>
        <v>0</v>
      </c>
      <c r="BH6" s="19">
        <f>BH4-BH5</f>
        <v>0</v>
      </c>
      <c r="BI6" s="19">
        <f>BI4-BI5</f>
        <v>0</v>
      </c>
    </row>
    <row r="7" spans="1:61">
      <c r="A7" s="2" t="s">
        <v>277</v>
      </c>
      <c r="B7" s="19">
        <f>B4*(IF(1=1,SM_Y1,IF(1=2,SM_Y2,SM_Y3p))+IF(1=1,RD_Y1,IF(1=2,RD_Y2,RD_Y3p)))+IF(1=1,GA_Y1,IF(1=2,GA_Y2,GA_Y3p))</f>
        <v>0</v>
      </c>
      <c r="C7" s="19">
        <f>C4*(IF(1=1,SM_Y1,IF(1=2,SM_Y2,SM_Y3p))+IF(1=1,RD_Y1,IF(1=2,RD_Y2,RD_Y3p)))+IF(1=1,GA_Y1,IF(1=2,GA_Y2,GA_Y3p))</f>
        <v>0</v>
      </c>
      <c r="D7" s="19">
        <f>D4*(IF(1=1,SM_Y1,IF(1=2,SM_Y2,SM_Y3p))+IF(1=1,RD_Y1,IF(1=2,RD_Y2,RD_Y3p)))+IF(1=1,GA_Y1,IF(1=2,GA_Y2,GA_Y3p))</f>
        <v>0</v>
      </c>
      <c r="E7" s="19">
        <f>E4*(IF(1=1,SM_Y1,IF(1=2,SM_Y2,SM_Y3p))+IF(1=1,RD_Y1,IF(1=2,RD_Y2,RD_Y3p)))+IF(1=1,GA_Y1,IF(1=2,GA_Y2,GA_Y3p))</f>
        <v>0</v>
      </c>
      <c r="F7" s="19">
        <f>F4*(IF(1=1,SM_Y1,IF(1=2,SM_Y2,SM_Y3p))+IF(1=1,RD_Y1,IF(1=2,RD_Y2,RD_Y3p)))+IF(1=1,GA_Y1,IF(1=2,GA_Y2,GA_Y3p))</f>
        <v>0</v>
      </c>
      <c r="G7" s="19">
        <f>G4*(IF(1=1,SM_Y1,IF(1=2,SM_Y2,SM_Y3p))+IF(1=1,RD_Y1,IF(1=2,RD_Y2,RD_Y3p)))+IF(1=1,GA_Y1,IF(1=2,GA_Y2,GA_Y3p))</f>
        <v>0</v>
      </c>
      <c r="H7" s="19">
        <f>H4*(IF(1=1,SM_Y1,IF(1=2,SM_Y2,SM_Y3p))+IF(1=1,RD_Y1,IF(1=2,RD_Y2,RD_Y3p)))+IF(1=1,GA_Y1,IF(1=2,GA_Y2,GA_Y3p))</f>
        <v>0</v>
      </c>
      <c r="I7" s="19">
        <f>I4*(IF(1=1,SM_Y1,IF(1=2,SM_Y2,SM_Y3p))+IF(1=1,RD_Y1,IF(1=2,RD_Y2,RD_Y3p)))+IF(1=1,GA_Y1,IF(1=2,GA_Y2,GA_Y3p))</f>
        <v>0</v>
      </c>
      <c r="J7" s="19">
        <f>J4*(IF(1=1,SM_Y1,IF(1=2,SM_Y2,SM_Y3p))+IF(1=1,RD_Y1,IF(1=2,RD_Y2,RD_Y3p)))+IF(1=1,GA_Y1,IF(1=2,GA_Y2,GA_Y3p))</f>
        <v>0</v>
      </c>
      <c r="K7" s="19">
        <f>K4*(IF(1=1,SM_Y1,IF(1=2,SM_Y2,SM_Y3p))+IF(1=1,RD_Y1,IF(1=2,RD_Y2,RD_Y3p)))+IF(1=1,GA_Y1,IF(1=2,GA_Y2,GA_Y3p))</f>
        <v>0</v>
      </c>
      <c r="L7" s="19">
        <f>L4*(IF(1=1,SM_Y1,IF(1=2,SM_Y2,SM_Y3p))+IF(1=1,RD_Y1,IF(1=2,RD_Y2,RD_Y3p)))+IF(1=1,GA_Y1,IF(1=2,GA_Y2,GA_Y3p))</f>
        <v>0</v>
      </c>
      <c r="M7" s="19">
        <f>M4*(IF(1=1,SM_Y1,IF(1=2,SM_Y2,SM_Y3p))+IF(1=1,RD_Y1,IF(1=2,RD_Y2,RD_Y3p)))+IF(1=1,GA_Y1,IF(1=2,GA_Y2,GA_Y3p))</f>
        <v>0</v>
      </c>
      <c r="N7" s="19">
        <f>N4*(IF(2=1,SM_Y1,IF(2=2,SM_Y2,SM_Y3p))+IF(2=1,RD_Y1,IF(2=2,RD_Y2,RD_Y3p)))+IF(2=1,GA_Y1,IF(2=2,GA_Y2,GA_Y3p))</f>
        <v>0</v>
      </c>
      <c r="O7" s="19">
        <f>O4*(IF(2=1,SM_Y1,IF(2=2,SM_Y2,SM_Y3p))+IF(2=1,RD_Y1,IF(2=2,RD_Y2,RD_Y3p)))+IF(2=1,GA_Y1,IF(2=2,GA_Y2,GA_Y3p))</f>
        <v>0</v>
      </c>
      <c r="P7" s="19">
        <f>P4*(IF(2=1,SM_Y1,IF(2=2,SM_Y2,SM_Y3p))+IF(2=1,RD_Y1,IF(2=2,RD_Y2,RD_Y3p)))+IF(2=1,GA_Y1,IF(2=2,GA_Y2,GA_Y3p))</f>
        <v>0</v>
      </c>
      <c r="Q7" s="19">
        <f>Q4*(IF(2=1,SM_Y1,IF(2=2,SM_Y2,SM_Y3p))+IF(2=1,RD_Y1,IF(2=2,RD_Y2,RD_Y3p)))+IF(2=1,GA_Y1,IF(2=2,GA_Y2,GA_Y3p))</f>
        <v>0</v>
      </c>
      <c r="R7" s="19">
        <f>R4*(IF(2=1,SM_Y1,IF(2=2,SM_Y2,SM_Y3p))+IF(2=1,RD_Y1,IF(2=2,RD_Y2,RD_Y3p)))+IF(2=1,GA_Y1,IF(2=2,GA_Y2,GA_Y3p))</f>
        <v>0</v>
      </c>
      <c r="S7" s="19">
        <f>S4*(IF(2=1,SM_Y1,IF(2=2,SM_Y2,SM_Y3p))+IF(2=1,RD_Y1,IF(2=2,RD_Y2,RD_Y3p)))+IF(2=1,GA_Y1,IF(2=2,GA_Y2,GA_Y3p))</f>
        <v>0</v>
      </c>
      <c r="T7" s="19">
        <f>T4*(IF(2=1,SM_Y1,IF(2=2,SM_Y2,SM_Y3p))+IF(2=1,RD_Y1,IF(2=2,RD_Y2,RD_Y3p)))+IF(2=1,GA_Y1,IF(2=2,GA_Y2,GA_Y3p))</f>
        <v>0</v>
      </c>
      <c r="U7" s="19">
        <f>U4*(IF(2=1,SM_Y1,IF(2=2,SM_Y2,SM_Y3p))+IF(2=1,RD_Y1,IF(2=2,RD_Y2,RD_Y3p)))+IF(2=1,GA_Y1,IF(2=2,GA_Y2,GA_Y3p))</f>
        <v>0</v>
      </c>
      <c r="V7" s="19">
        <f>V4*(IF(2=1,SM_Y1,IF(2=2,SM_Y2,SM_Y3p))+IF(2=1,RD_Y1,IF(2=2,RD_Y2,RD_Y3p)))+IF(2=1,GA_Y1,IF(2=2,GA_Y2,GA_Y3p))</f>
        <v>0</v>
      </c>
      <c r="W7" s="19">
        <f>W4*(IF(2=1,SM_Y1,IF(2=2,SM_Y2,SM_Y3p))+IF(2=1,RD_Y1,IF(2=2,RD_Y2,RD_Y3p)))+IF(2=1,GA_Y1,IF(2=2,GA_Y2,GA_Y3p))</f>
        <v>0</v>
      </c>
      <c r="X7" s="19">
        <f>X4*(IF(2=1,SM_Y1,IF(2=2,SM_Y2,SM_Y3p))+IF(2=1,RD_Y1,IF(2=2,RD_Y2,RD_Y3p)))+IF(2=1,GA_Y1,IF(2=2,GA_Y2,GA_Y3p))</f>
        <v>0</v>
      </c>
      <c r="Y7" s="19">
        <f>Y4*(IF(2=1,SM_Y1,IF(2=2,SM_Y2,SM_Y3p))+IF(2=1,RD_Y1,IF(2=2,RD_Y2,RD_Y3p)))+IF(2=1,GA_Y1,IF(2=2,GA_Y2,GA_Y3p))</f>
        <v>0</v>
      </c>
      <c r="Z7" s="19">
        <f>Z4*(IF(3=1,SM_Y1,IF(3=2,SM_Y2,SM_Y3p))+IF(3=1,RD_Y1,IF(3=2,RD_Y2,RD_Y3p)))+IF(3=1,GA_Y1,IF(3=2,GA_Y2,GA_Y3p))</f>
        <v>0</v>
      </c>
      <c r="AA7" s="19">
        <f>AA4*(IF(3=1,SM_Y1,IF(3=2,SM_Y2,SM_Y3p))+IF(3=1,RD_Y1,IF(3=2,RD_Y2,RD_Y3p)))+IF(3=1,GA_Y1,IF(3=2,GA_Y2,GA_Y3p))</f>
        <v>0</v>
      </c>
      <c r="AB7" s="19">
        <f>AB4*(IF(3=1,SM_Y1,IF(3=2,SM_Y2,SM_Y3p))+IF(3=1,RD_Y1,IF(3=2,RD_Y2,RD_Y3p)))+IF(3=1,GA_Y1,IF(3=2,GA_Y2,GA_Y3p))</f>
        <v>0</v>
      </c>
      <c r="AC7" s="19">
        <f>AC4*(IF(3=1,SM_Y1,IF(3=2,SM_Y2,SM_Y3p))+IF(3=1,RD_Y1,IF(3=2,RD_Y2,RD_Y3p)))+IF(3=1,GA_Y1,IF(3=2,GA_Y2,GA_Y3p))</f>
        <v>0</v>
      </c>
      <c r="AD7" s="19">
        <f>AD4*(IF(3=1,SM_Y1,IF(3=2,SM_Y2,SM_Y3p))+IF(3=1,RD_Y1,IF(3=2,RD_Y2,RD_Y3p)))+IF(3=1,GA_Y1,IF(3=2,GA_Y2,GA_Y3p))</f>
        <v>0</v>
      </c>
      <c r="AE7" s="19">
        <f>AE4*(IF(3=1,SM_Y1,IF(3=2,SM_Y2,SM_Y3p))+IF(3=1,RD_Y1,IF(3=2,RD_Y2,RD_Y3p)))+IF(3=1,GA_Y1,IF(3=2,GA_Y2,GA_Y3p))</f>
        <v>0</v>
      </c>
      <c r="AF7" s="19">
        <f>AF4*(IF(3=1,SM_Y1,IF(3=2,SM_Y2,SM_Y3p))+IF(3=1,RD_Y1,IF(3=2,RD_Y2,RD_Y3p)))+IF(3=1,GA_Y1,IF(3=2,GA_Y2,GA_Y3p))</f>
        <v>0</v>
      </c>
      <c r="AG7" s="19">
        <f>AG4*(IF(3=1,SM_Y1,IF(3=2,SM_Y2,SM_Y3p))+IF(3=1,RD_Y1,IF(3=2,RD_Y2,RD_Y3p)))+IF(3=1,GA_Y1,IF(3=2,GA_Y2,GA_Y3p))</f>
        <v>0</v>
      </c>
      <c r="AH7" s="19">
        <f>AH4*(IF(3=1,SM_Y1,IF(3=2,SM_Y2,SM_Y3p))+IF(3=1,RD_Y1,IF(3=2,RD_Y2,RD_Y3p)))+IF(3=1,GA_Y1,IF(3=2,GA_Y2,GA_Y3p))</f>
        <v>0</v>
      </c>
      <c r="AI7" s="19">
        <f>AI4*(IF(3=1,SM_Y1,IF(3=2,SM_Y2,SM_Y3p))+IF(3=1,RD_Y1,IF(3=2,RD_Y2,RD_Y3p)))+IF(3=1,GA_Y1,IF(3=2,GA_Y2,GA_Y3p))</f>
        <v>0</v>
      </c>
      <c r="AJ7" s="19">
        <f>AJ4*(IF(3=1,SM_Y1,IF(3=2,SM_Y2,SM_Y3p))+IF(3=1,RD_Y1,IF(3=2,RD_Y2,RD_Y3p)))+IF(3=1,GA_Y1,IF(3=2,GA_Y2,GA_Y3p))</f>
        <v>0</v>
      </c>
      <c r="AK7" s="19">
        <f>AK4*(IF(3=1,SM_Y1,IF(3=2,SM_Y2,SM_Y3p))+IF(3=1,RD_Y1,IF(3=2,RD_Y2,RD_Y3p)))+IF(3=1,GA_Y1,IF(3=2,GA_Y2,GA_Y3p))</f>
        <v>0</v>
      </c>
      <c r="AL7" s="19">
        <f>AL4*(IF(4=1,SM_Y1,IF(4=2,SM_Y2,SM_Y3p))+IF(4=1,RD_Y1,IF(4=2,RD_Y2,RD_Y3p)))+IF(4=1,GA_Y1,IF(4=2,GA_Y2,GA_Y3p))</f>
        <v>0</v>
      </c>
      <c r="AM7" s="19">
        <f>AM4*(IF(4=1,SM_Y1,IF(4=2,SM_Y2,SM_Y3p))+IF(4=1,RD_Y1,IF(4=2,RD_Y2,RD_Y3p)))+IF(4=1,GA_Y1,IF(4=2,GA_Y2,GA_Y3p))</f>
        <v>0</v>
      </c>
      <c r="AN7" s="19">
        <f>AN4*(IF(4=1,SM_Y1,IF(4=2,SM_Y2,SM_Y3p))+IF(4=1,RD_Y1,IF(4=2,RD_Y2,RD_Y3p)))+IF(4=1,GA_Y1,IF(4=2,GA_Y2,GA_Y3p))</f>
        <v>0</v>
      </c>
      <c r="AO7" s="19">
        <f>AO4*(IF(4=1,SM_Y1,IF(4=2,SM_Y2,SM_Y3p))+IF(4=1,RD_Y1,IF(4=2,RD_Y2,RD_Y3p)))+IF(4=1,GA_Y1,IF(4=2,GA_Y2,GA_Y3p))</f>
        <v>0</v>
      </c>
      <c r="AP7" s="19">
        <f>AP4*(IF(4=1,SM_Y1,IF(4=2,SM_Y2,SM_Y3p))+IF(4=1,RD_Y1,IF(4=2,RD_Y2,RD_Y3p)))+IF(4=1,GA_Y1,IF(4=2,GA_Y2,GA_Y3p))</f>
        <v>0</v>
      </c>
      <c r="AQ7" s="19">
        <f>AQ4*(IF(4=1,SM_Y1,IF(4=2,SM_Y2,SM_Y3p))+IF(4=1,RD_Y1,IF(4=2,RD_Y2,RD_Y3p)))+IF(4=1,GA_Y1,IF(4=2,GA_Y2,GA_Y3p))</f>
        <v>0</v>
      </c>
      <c r="AR7" s="19">
        <f>AR4*(IF(4=1,SM_Y1,IF(4=2,SM_Y2,SM_Y3p))+IF(4=1,RD_Y1,IF(4=2,RD_Y2,RD_Y3p)))+IF(4=1,GA_Y1,IF(4=2,GA_Y2,GA_Y3p))</f>
        <v>0</v>
      </c>
      <c r="AS7" s="19">
        <f>AS4*(IF(4=1,SM_Y1,IF(4=2,SM_Y2,SM_Y3p))+IF(4=1,RD_Y1,IF(4=2,RD_Y2,RD_Y3p)))+IF(4=1,GA_Y1,IF(4=2,GA_Y2,GA_Y3p))</f>
        <v>0</v>
      </c>
      <c r="AT7" s="19">
        <f>AT4*(IF(4=1,SM_Y1,IF(4=2,SM_Y2,SM_Y3p))+IF(4=1,RD_Y1,IF(4=2,RD_Y2,RD_Y3p)))+IF(4=1,GA_Y1,IF(4=2,GA_Y2,GA_Y3p))</f>
        <v>0</v>
      </c>
      <c r="AU7" s="19">
        <f>AU4*(IF(4=1,SM_Y1,IF(4=2,SM_Y2,SM_Y3p))+IF(4=1,RD_Y1,IF(4=2,RD_Y2,RD_Y3p)))+IF(4=1,GA_Y1,IF(4=2,GA_Y2,GA_Y3p))</f>
        <v>0</v>
      </c>
      <c r="AV7" s="19">
        <f>AV4*(IF(4=1,SM_Y1,IF(4=2,SM_Y2,SM_Y3p))+IF(4=1,RD_Y1,IF(4=2,RD_Y2,RD_Y3p)))+IF(4=1,GA_Y1,IF(4=2,GA_Y2,GA_Y3p))</f>
        <v>0</v>
      </c>
      <c r="AW7" s="19">
        <f>AW4*(IF(4=1,SM_Y1,IF(4=2,SM_Y2,SM_Y3p))+IF(4=1,RD_Y1,IF(4=2,RD_Y2,RD_Y3p)))+IF(4=1,GA_Y1,IF(4=2,GA_Y2,GA_Y3p))</f>
        <v>0</v>
      </c>
      <c r="AX7" s="19">
        <f>AX4*(IF(5=1,SM_Y1,IF(5=2,SM_Y2,SM_Y3p))+IF(5=1,RD_Y1,IF(5=2,RD_Y2,RD_Y3p)))+IF(5=1,GA_Y1,IF(5=2,GA_Y2,GA_Y3p))</f>
        <v>0</v>
      </c>
      <c r="AY7" s="19">
        <f>AY4*(IF(5=1,SM_Y1,IF(5=2,SM_Y2,SM_Y3p))+IF(5=1,RD_Y1,IF(5=2,RD_Y2,RD_Y3p)))+IF(5=1,GA_Y1,IF(5=2,GA_Y2,GA_Y3p))</f>
        <v>0</v>
      </c>
      <c r="AZ7" s="19">
        <f>AZ4*(IF(5=1,SM_Y1,IF(5=2,SM_Y2,SM_Y3p))+IF(5=1,RD_Y1,IF(5=2,RD_Y2,RD_Y3p)))+IF(5=1,GA_Y1,IF(5=2,GA_Y2,GA_Y3p))</f>
        <v>0</v>
      </c>
      <c r="BA7" s="19">
        <f>BA4*(IF(5=1,SM_Y1,IF(5=2,SM_Y2,SM_Y3p))+IF(5=1,RD_Y1,IF(5=2,RD_Y2,RD_Y3p)))+IF(5=1,GA_Y1,IF(5=2,GA_Y2,GA_Y3p))</f>
        <v>0</v>
      </c>
      <c r="BB7" s="19">
        <f>BB4*(IF(5=1,SM_Y1,IF(5=2,SM_Y2,SM_Y3p))+IF(5=1,RD_Y1,IF(5=2,RD_Y2,RD_Y3p)))+IF(5=1,GA_Y1,IF(5=2,GA_Y2,GA_Y3p))</f>
        <v>0</v>
      </c>
      <c r="BC7" s="19">
        <f>BC4*(IF(5=1,SM_Y1,IF(5=2,SM_Y2,SM_Y3p))+IF(5=1,RD_Y1,IF(5=2,RD_Y2,RD_Y3p)))+IF(5=1,GA_Y1,IF(5=2,GA_Y2,GA_Y3p))</f>
        <v>0</v>
      </c>
      <c r="BD7" s="19">
        <f>BD4*(IF(5=1,SM_Y1,IF(5=2,SM_Y2,SM_Y3p))+IF(5=1,RD_Y1,IF(5=2,RD_Y2,RD_Y3p)))+IF(5=1,GA_Y1,IF(5=2,GA_Y2,GA_Y3p))</f>
        <v>0</v>
      </c>
      <c r="BE7" s="19">
        <f>BE4*(IF(5=1,SM_Y1,IF(5=2,SM_Y2,SM_Y3p))+IF(5=1,RD_Y1,IF(5=2,RD_Y2,RD_Y3p)))+IF(5=1,GA_Y1,IF(5=2,GA_Y2,GA_Y3p))</f>
        <v>0</v>
      </c>
      <c r="BF7" s="19">
        <f>BF4*(IF(5=1,SM_Y1,IF(5=2,SM_Y2,SM_Y3p))+IF(5=1,RD_Y1,IF(5=2,RD_Y2,RD_Y3p)))+IF(5=1,GA_Y1,IF(5=2,GA_Y2,GA_Y3p))</f>
        <v>0</v>
      </c>
      <c r="BG7" s="19">
        <f>BG4*(IF(5=1,SM_Y1,IF(5=2,SM_Y2,SM_Y3p))+IF(5=1,RD_Y1,IF(5=2,RD_Y2,RD_Y3p)))+IF(5=1,GA_Y1,IF(5=2,GA_Y2,GA_Y3p))</f>
        <v>0</v>
      </c>
      <c r="BH7" s="19">
        <f>BH4*(IF(5=1,SM_Y1,IF(5=2,SM_Y2,SM_Y3p))+IF(5=1,RD_Y1,IF(5=2,RD_Y2,RD_Y3p)))+IF(5=1,GA_Y1,IF(5=2,GA_Y2,GA_Y3p))</f>
        <v>0</v>
      </c>
      <c r="BI7" s="19">
        <f>BI4*(IF(5=1,SM_Y1,IF(5=2,SM_Y2,SM_Y3p))+IF(5=1,RD_Y1,IF(5=2,RD_Y2,RD_Y3p)))+IF(5=1,GA_Y1,IF(5=2,GA_Y2,GA_Y3p))</f>
        <v>0</v>
      </c>
    </row>
    <row r="8" spans="1:61">
      <c r="A8" s="2" t="s">
        <v>278</v>
      </c>
      <c r="B8" s="19">
        <f>B6-B7</f>
        <v>0</v>
      </c>
      <c r="C8" s="19">
        <f>C6-C7</f>
        <v>0</v>
      </c>
      <c r="D8" s="19">
        <f>D6-D7</f>
        <v>0</v>
      </c>
      <c r="E8" s="19">
        <f>E6-E7</f>
        <v>0</v>
      </c>
      <c r="F8" s="19">
        <f>F6-F7</f>
        <v>0</v>
      </c>
      <c r="G8" s="19">
        <f>G6-G7</f>
        <v>0</v>
      </c>
      <c r="H8" s="19">
        <f>H6-H7</f>
        <v>0</v>
      </c>
      <c r="I8" s="19">
        <f>I6-I7</f>
        <v>0</v>
      </c>
      <c r="J8" s="19">
        <f>J6-J7</f>
        <v>0</v>
      </c>
      <c r="K8" s="19">
        <f>K6-K7</f>
        <v>0</v>
      </c>
      <c r="L8" s="19">
        <f>L6-L7</f>
        <v>0</v>
      </c>
      <c r="M8" s="19">
        <f>M6-M7</f>
        <v>0</v>
      </c>
      <c r="N8" s="19">
        <f>N6-N7</f>
        <v>0</v>
      </c>
      <c r="O8" s="19">
        <f>O6-O7</f>
        <v>0</v>
      </c>
      <c r="P8" s="19">
        <f>P6-P7</f>
        <v>0</v>
      </c>
      <c r="Q8" s="19">
        <f>Q6-Q7</f>
        <v>0</v>
      </c>
      <c r="R8" s="19">
        <f>R6-R7</f>
        <v>0</v>
      </c>
      <c r="S8" s="19">
        <f>S6-S7</f>
        <v>0</v>
      </c>
      <c r="T8" s="19">
        <f>T6-T7</f>
        <v>0</v>
      </c>
      <c r="U8" s="19">
        <f>U6-U7</f>
        <v>0</v>
      </c>
      <c r="V8" s="19">
        <f>V6-V7</f>
        <v>0</v>
      </c>
      <c r="W8" s="19">
        <f>W6-W7</f>
        <v>0</v>
      </c>
      <c r="X8" s="19">
        <f>X6-X7</f>
        <v>0</v>
      </c>
      <c r="Y8" s="19">
        <f>Y6-Y7</f>
        <v>0</v>
      </c>
      <c r="Z8" s="19">
        <f>Z6-Z7</f>
        <v>0</v>
      </c>
      <c r="AA8" s="19">
        <f>AA6-AA7</f>
        <v>0</v>
      </c>
      <c r="AB8" s="19">
        <f>AB6-AB7</f>
        <v>0</v>
      </c>
      <c r="AC8" s="19">
        <f>AC6-AC7</f>
        <v>0</v>
      </c>
      <c r="AD8" s="19">
        <f>AD6-AD7</f>
        <v>0</v>
      </c>
      <c r="AE8" s="19">
        <f>AE6-AE7</f>
        <v>0</v>
      </c>
      <c r="AF8" s="19">
        <f>AF6-AF7</f>
        <v>0</v>
      </c>
      <c r="AG8" s="19">
        <f>AG6-AG7</f>
        <v>0</v>
      </c>
      <c r="AH8" s="19">
        <f>AH6-AH7</f>
        <v>0</v>
      </c>
      <c r="AI8" s="19">
        <f>AI6-AI7</f>
        <v>0</v>
      </c>
      <c r="AJ8" s="19">
        <f>AJ6-AJ7</f>
        <v>0</v>
      </c>
      <c r="AK8" s="19">
        <f>AK6-AK7</f>
        <v>0</v>
      </c>
      <c r="AL8" s="19">
        <f>AL6-AL7</f>
        <v>0</v>
      </c>
      <c r="AM8" s="19">
        <f>AM6-AM7</f>
        <v>0</v>
      </c>
      <c r="AN8" s="19">
        <f>AN6-AN7</f>
        <v>0</v>
      </c>
      <c r="AO8" s="19">
        <f>AO6-AO7</f>
        <v>0</v>
      </c>
      <c r="AP8" s="19">
        <f>AP6-AP7</f>
        <v>0</v>
      </c>
      <c r="AQ8" s="19">
        <f>AQ6-AQ7</f>
        <v>0</v>
      </c>
      <c r="AR8" s="19">
        <f>AR6-AR7</f>
        <v>0</v>
      </c>
      <c r="AS8" s="19">
        <f>AS6-AS7</f>
        <v>0</v>
      </c>
      <c r="AT8" s="19">
        <f>AT6-AT7</f>
        <v>0</v>
      </c>
      <c r="AU8" s="19">
        <f>AU6-AU7</f>
        <v>0</v>
      </c>
      <c r="AV8" s="19">
        <f>AV6-AV7</f>
        <v>0</v>
      </c>
      <c r="AW8" s="19">
        <f>AW6-AW7</f>
        <v>0</v>
      </c>
      <c r="AX8" s="19">
        <f>AX6-AX7</f>
        <v>0</v>
      </c>
      <c r="AY8" s="19">
        <f>AY6-AY7</f>
        <v>0</v>
      </c>
      <c r="AZ8" s="19">
        <f>AZ6-AZ7</f>
        <v>0</v>
      </c>
      <c r="BA8" s="19">
        <f>BA6-BA7</f>
        <v>0</v>
      </c>
      <c r="BB8" s="19">
        <f>BB6-BB7</f>
        <v>0</v>
      </c>
      <c r="BC8" s="19">
        <f>BC6-BC7</f>
        <v>0</v>
      </c>
      <c r="BD8" s="19">
        <f>BD6-BD7</f>
        <v>0</v>
      </c>
      <c r="BE8" s="19">
        <f>BE6-BE7</f>
        <v>0</v>
      </c>
      <c r="BF8" s="19">
        <f>BF6-BF7</f>
        <v>0</v>
      </c>
      <c r="BG8" s="19">
        <f>BG6-BG7</f>
        <v>0</v>
      </c>
      <c r="BH8" s="19">
        <f>BH6-BH7</f>
        <v>0</v>
      </c>
      <c r="BI8" s="19">
        <f>BI6-BI7</f>
        <v>0</v>
      </c>
    </row>
    <row r="9" spans="1:61">
      <c r="A9" s="2" t="s">
        <v>279</v>
      </c>
      <c r="B9" s="19">
        <f>-IF(1=1,Capex_Y1,IF(1=2,Capex_Y2,IF(1=3,Capex_Y3,IF(1=4,Capex_Y4,Capex_Y5))))/12</f>
        <v>0</v>
      </c>
      <c r="C9" s="19">
        <f>-IF(1=1,Capex_Y1,IF(1=2,Capex_Y2,IF(1=3,Capex_Y3,IF(1=4,Capex_Y4,Capex_Y5))))/12</f>
        <v>0</v>
      </c>
      <c r="D9" s="19">
        <f>-IF(1=1,Capex_Y1,IF(1=2,Capex_Y2,IF(1=3,Capex_Y3,IF(1=4,Capex_Y4,Capex_Y5))))/12</f>
        <v>0</v>
      </c>
      <c r="E9" s="19">
        <f>-IF(1=1,Capex_Y1,IF(1=2,Capex_Y2,IF(1=3,Capex_Y3,IF(1=4,Capex_Y4,Capex_Y5))))/12</f>
        <v>0</v>
      </c>
      <c r="F9" s="19">
        <f>-IF(1=1,Capex_Y1,IF(1=2,Capex_Y2,IF(1=3,Capex_Y3,IF(1=4,Capex_Y4,Capex_Y5))))/12</f>
        <v>0</v>
      </c>
      <c r="G9" s="19">
        <f>-IF(1=1,Capex_Y1,IF(1=2,Capex_Y2,IF(1=3,Capex_Y3,IF(1=4,Capex_Y4,Capex_Y5))))/12</f>
        <v>0</v>
      </c>
      <c r="H9" s="19">
        <f>-IF(1=1,Capex_Y1,IF(1=2,Capex_Y2,IF(1=3,Capex_Y3,IF(1=4,Capex_Y4,Capex_Y5))))/12</f>
        <v>0</v>
      </c>
      <c r="I9" s="19">
        <f>-IF(1=1,Capex_Y1,IF(1=2,Capex_Y2,IF(1=3,Capex_Y3,IF(1=4,Capex_Y4,Capex_Y5))))/12</f>
        <v>0</v>
      </c>
      <c r="J9" s="19">
        <f>-IF(1=1,Capex_Y1,IF(1=2,Capex_Y2,IF(1=3,Capex_Y3,IF(1=4,Capex_Y4,Capex_Y5))))/12</f>
        <v>0</v>
      </c>
      <c r="K9" s="19">
        <f>-IF(1=1,Capex_Y1,IF(1=2,Capex_Y2,IF(1=3,Capex_Y3,IF(1=4,Capex_Y4,Capex_Y5))))/12</f>
        <v>0</v>
      </c>
      <c r="L9" s="19">
        <f>-IF(1=1,Capex_Y1,IF(1=2,Capex_Y2,IF(1=3,Capex_Y3,IF(1=4,Capex_Y4,Capex_Y5))))/12</f>
        <v>0</v>
      </c>
      <c r="M9" s="19">
        <f>-IF(1=1,Capex_Y1,IF(1=2,Capex_Y2,IF(1=3,Capex_Y3,IF(1=4,Capex_Y4,Capex_Y5))))/12</f>
        <v>0</v>
      </c>
      <c r="N9" s="19">
        <f>-IF(2=1,Capex_Y1,IF(2=2,Capex_Y2,IF(2=3,Capex_Y3,IF(2=4,Capex_Y4,Capex_Y5))))/12</f>
        <v>0</v>
      </c>
      <c r="O9" s="19">
        <f>-IF(2=1,Capex_Y1,IF(2=2,Capex_Y2,IF(2=3,Capex_Y3,IF(2=4,Capex_Y4,Capex_Y5))))/12</f>
        <v>0</v>
      </c>
      <c r="P9" s="19">
        <f>-IF(2=1,Capex_Y1,IF(2=2,Capex_Y2,IF(2=3,Capex_Y3,IF(2=4,Capex_Y4,Capex_Y5))))/12</f>
        <v>0</v>
      </c>
      <c r="Q9" s="19">
        <f>-IF(2=1,Capex_Y1,IF(2=2,Capex_Y2,IF(2=3,Capex_Y3,IF(2=4,Capex_Y4,Capex_Y5))))/12</f>
        <v>0</v>
      </c>
      <c r="R9" s="19">
        <f>-IF(2=1,Capex_Y1,IF(2=2,Capex_Y2,IF(2=3,Capex_Y3,IF(2=4,Capex_Y4,Capex_Y5))))/12</f>
        <v>0</v>
      </c>
      <c r="S9" s="19">
        <f>-IF(2=1,Capex_Y1,IF(2=2,Capex_Y2,IF(2=3,Capex_Y3,IF(2=4,Capex_Y4,Capex_Y5))))/12</f>
        <v>0</v>
      </c>
      <c r="T9" s="19">
        <f>-IF(2=1,Capex_Y1,IF(2=2,Capex_Y2,IF(2=3,Capex_Y3,IF(2=4,Capex_Y4,Capex_Y5))))/12</f>
        <v>0</v>
      </c>
      <c r="U9" s="19">
        <f>-IF(2=1,Capex_Y1,IF(2=2,Capex_Y2,IF(2=3,Capex_Y3,IF(2=4,Capex_Y4,Capex_Y5))))/12</f>
        <v>0</v>
      </c>
      <c r="V9" s="19">
        <f>-IF(2=1,Capex_Y1,IF(2=2,Capex_Y2,IF(2=3,Capex_Y3,IF(2=4,Capex_Y4,Capex_Y5))))/12</f>
        <v>0</v>
      </c>
      <c r="W9" s="19">
        <f>-IF(2=1,Capex_Y1,IF(2=2,Capex_Y2,IF(2=3,Capex_Y3,IF(2=4,Capex_Y4,Capex_Y5))))/12</f>
        <v>0</v>
      </c>
      <c r="X9" s="19">
        <f>-IF(2=1,Capex_Y1,IF(2=2,Capex_Y2,IF(2=3,Capex_Y3,IF(2=4,Capex_Y4,Capex_Y5))))/12</f>
        <v>0</v>
      </c>
      <c r="Y9" s="19">
        <f>-IF(2=1,Capex_Y1,IF(2=2,Capex_Y2,IF(2=3,Capex_Y3,IF(2=4,Capex_Y4,Capex_Y5))))/12</f>
        <v>0</v>
      </c>
      <c r="Z9" s="19">
        <f>-IF(3=1,Capex_Y1,IF(3=2,Capex_Y2,IF(3=3,Capex_Y3,IF(3=4,Capex_Y4,Capex_Y5))))/12</f>
        <v>0</v>
      </c>
      <c r="AA9" s="19">
        <f>-IF(3=1,Capex_Y1,IF(3=2,Capex_Y2,IF(3=3,Capex_Y3,IF(3=4,Capex_Y4,Capex_Y5))))/12</f>
        <v>0</v>
      </c>
      <c r="AB9" s="19">
        <f>-IF(3=1,Capex_Y1,IF(3=2,Capex_Y2,IF(3=3,Capex_Y3,IF(3=4,Capex_Y4,Capex_Y5))))/12</f>
        <v>0</v>
      </c>
      <c r="AC9" s="19">
        <f>-IF(3=1,Capex_Y1,IF(3=2,Capex_Y2,IF(3=3,Capex_Y3,IF(3=4,Capex_Y4,Capex_Y5))))/12</f>
        <v>0</v>
      </c>
      <c r="AD9" s="19">
        <f>-IF(3=1,Capex_Y1,IF(3=2,Capex_Y2,IF(3=3,Capex_Y3,IF(3=4,Capex_Y4,Capex_Y5))))/12</f>
        <v>0</v>
      </c>
      <c r="AE9" s="19">
        <f>-IF(3=1,Capex_Y1,IF(3=2,Capex_Y2,IF(3=3,Capex_Y3,IF(3=4,Capex_Y4,Capex_Y5))))/12</f>
        <v>0</v>
      </c>
      <c r="AF9" s="19">
        <f>-IF(3=1,Capex_Y1,IF(3=2,Capex_Y2,IF(3=3,Capex_Y3,IF(3=4,Capex_Y4,Capex_Y5))))/12</f>
        <v>0</v>
      </c>
      <c r="AG9" s="19">
        <f>-IF(3=1,Capex_Y1,IF(3=2,Capex_Y2,IF(3=3,Capex_Y3,IF(3=4,Capex_Y4,Capex_Y5))))/12</f>
        <v>0</v>
      </c>
      <c r="AH9" s="19">
        <f>-IF(3=1,Capex_Y1,IF(3=2,Capex_Y2,IF(3=3,Capex_Y3,IF(3=4,Capex_Y4,Capex_Y5))))/12</f>
        <v>0</v>
      </c>
      <c r="AI9" s="19">
        <f>-IF(3=1,Capex_Y1,IF(3=2,Capex_Y2,IF(3=3,Capex_Y3,IF(3=4,Capex_Y4,Capex_Y5))))/12</f>
        <v>0</v>
      </c>
      <c r="AJ9" s="19">
        <f>-IF(3=1,Capex_Y1,IF(3=2,Capex_Y2,IF(3=3,Capex_Y3,IF(3=4,Capex_Y4,Capex_Y5))))/12</f>
        <v>0</v>
      </c>
      <c r="AK9" s="19">
        <f>-IF(3=1,Capex_Y1,IF(3=2,Capex_Y2,IF(3=3,Capex_Y3,IF(3=4,Capex_Y4,Capex_Y5))))/12</f>
        <v>0</v>
      </c>
      <c r="AL9" s="19">
        <f>-IF(4=1,Capex_Y1,IF(4=2,Capex_Y2,IF(4=3,Capex_Y3,IF(4=4,Capex_Y4,Capex_Y5))))/12</f>
        <v>0</v>
      </c>
      <c r="AM9" s="19">
        <f>-IF(4=1,Capex_Y1,IF(4=2,Capex_Y2,IF(4=3,Capex_Y3,IF(4=4,Capex_Y4,Capex_Y5))))/12</f>
        <v>0</v>
      </c>
      <c r="AN9" s="19">
        <f>-IF(4=1,Capex_Y1,IF(4=2,Capex_Y2,IF(4=3,Capex_Y3,IF(4=4,Capex_Y4,Capex_Y5))))/12</f>
        <v>0</v>
      </c>
      <c r="AO9" s="19">
        <f>-IF(4=1,Capex_Y1,IF(4=2,Capex_Y2,IF(4=3,Capex_Y3,IF(4=4,Capex_Y4,Capex_Y5))))/12</f>
        <v>0</v>
      </c>
      <c r="AP9" s="19">
        <f>-IF(4=1,Capex_Y1,IF(4=2,Capex_Y2,IF(4=3,Capex_Y3,IF(4=4,Capex_Y4,Capex_Y5))))/12</f>
        <v>0</v>
      </c>
      <c r="AQ9" s="19">
        <f>-IF(4=1,Capex_Y1,IF(4=2,Capex_Y2,IF(4=3,Capex_Y3,IF(4=4,Capex_Y4,Capex_Y5))))/12</f>
        <v>0</v>
      </c>
      <c r="AR9" s="19">
        <f>-IF(4=1,Capex_Y1,IF(4=2,Capex_Y2,IF(4=3,Capex_Y3,IF(4=4,Capex_Y4,Capex_Y5))))/12</f>
        <v>0</v>
      </c>
      <c r="AS9" s="19">
        <f>-IF(4=1,Capex_Y1,IF(4=2,Capex_Y2,IF(4=3,Capex_Y3,IF(4=4,Capex_Y4,Capex_Y5))))/12</f>
        <v>0</v>
      </c>
      <c r="AT9" s="19">
        <f>-IF(4=1,Capex_Y1,IF(4=2,Capex_Y2,IF(4=3,Capex_Y3,IF(4=4,Capex_Y4,Capex_Y5))))/12</f>
        <v>0</v>
      </c>
      <c r="AU9" s="19">
        <f>-IF(4=1,Capex_Y1,IF(4=2,Capex_Y2,IF(4=3,Capex_Y3,IF(4=4,Capex_Y4,Capex_Y5))))/12</f>
        <v>0</v>
      </c>
      <c r="AV9" s="19">
        <f>-IF(4=1,Capex_Y1,IF(4=2,Capex_Y2,IF(4=3,Capex_Y3,IF(4=4,Capex_Y4,Capex_Y5))))/12</f>
        <v>0</v>
      </c>
      <c r="AW9" s="19">
        <f>-IF(4=1,Capex_Y1,IF(4=2,Capex_Y2,IF(4=3,Capex_Y3,IF(4=4,Capex_Y4,Capex_Y5))))/12</f>
        <v>0</v>
      </c>
      <c r="AX9" s="19">
        <f>-IF(5=1,Capex_Y1,IF(5=2,Capex_Y2,IF(5=3,Capex_Y3,IF(5=4,Capex_Y4,Capex_Y5))))/12</f>
        <v>0</v>
      </c>
      <c r="AY9" s="19">
        <f>-IF(5=1,Capex_Y1,IF(5=2,Capex_Y2,IF(5=3,Capex_Y3,IF(5=4,Capex_Y4,Capex_Y5))))/12</f>
        <v>0</v>
      </c>
      <c r="AZ9" s="19">
        <f>-IF(5=1,Capex_Y1,IF(5=2,Capex_Y2,IF(5=3,Capex_Y3,IF(5=4,Capex_Y4,Capex_Y5))))/12</f>
        <v>0</v>
      </c>
      <c r="BA9" s="19">
        <f>-IF(5=1,Capex_Y1,IF(5=2,Capex_Y2,IF(5=3,Capex_Y3,IF(5=4,Capex_Y4,Capex_Y5))))/12</f>
        <v>0</v>
      </c>
      <c r="BB9" s="19">
        <f>-IF(5=1,Capex_Y1,IF(5=2,Capex_Y2,IF(5=3,Capex_Y3,IF(5=4,Capex_Y4,Capex_Y5))))/12</f>
        <v>0</v>
      </c>
      <c r="BC9" s="19">
        <f>-IF(5=1,Capex_Y1,IF(5=2,Capex_Y2,IF(5=3,Capex_Y3,IF(5=4,Capex_Y4,Capex_Y5))))/12</f>
        <v>0</v>
      </c>
      <c r="BD9" s="19">
        <f>-IF(5=1,Capex_Y1,IF(5=2,Capex_Y2,IF(5=3,Capex_Y3,IF(5=4,Capex_Y4,Capex_Y5))))/12</f>
        <v>0</v>
      </c>
      <c r="BE9" s="19">
        <f>-IF(5=1,Capex_Y1,IF(5=2,Capex_Y2,IF(5=3,Capex_Y3,IF(5=4,Capex_Y4,Capex_Y5))))/12</f>
        <v>0</v>
      </c>
      <c r="BF9" s="19">
        <f>-IF(5=1,Capex_Y1,IF(5=2,Capex_Y2,IF(5=3,Capex_Y3,IF(5=4,Capex_Y4,Capex_Y5))))/12</f>
        <v>0</v>
      </c>
      <c r="BG9" s="19">
        <f>-IF(5=1,Capex_Y1,IF(5=2,Capex_Y2,IF(5=3,Capex_Y3,IF(5=4,Capex_Y4,Capex_Y5))))/12</f>
        <v>0</v>
      </c>
      <c r="BH9" s="19">
        <f>-IF(5=1,Capex_Y1,IF(5=2,Capex_Y2,IF(5=3,Capex_Y3,IF(5=4,Capex_Y4,Capex_Y5))))/12</f>
        <v>0</v>
      </c>
      <c r="BI9" s="19">
        <f>-IF(5=1,Capex_Y1,IF(5=2,Capex_Y2,IF(5=3,Capex_Y3,IF(5=4,Capex_Y4,Capex_Y5))))/12</f>
        <v>0</v>
      </c>
    </row>
    <row r="10" spans="1:61">
      <c r="A10" s="2" t="s">
        <v>280</v>
      </c>
      <c r="B10" s="19">
        <f>IF(1=1,Eq_Y1,IF(1=2,Eq_Y2,IF(1=3,Eq_Y3,0)))</f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f>IF(2=1,Eq_Y1,IF(2=2,Eq_Y2,IF(2=3,Eq_Y3,0)))</f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f>IF(3=1,Eq_Y1,IF(3=2,Eq_Y2,IF(3=3,Eq_Y3,0)))</f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f>IF(4=1,Eq_Y1,IF(4=2,Eq_Y2,IF(4=3,Eq_Y3,0)))</f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f>IF(5=1,Eq_Y1,IF(5=2,Eq_Y2,IF(5=3,Eq_Y3,0)))</f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</row>
    <row r="11" spans="1:61">
      <c r="A11" s="2" t="s">
        <v>281</v>
      </c>
      <c r="B11" s="19">
        <f>B8+B9+B10</f>
        <v>0</v>
      </c>
      <c r="C11" s="19">
        <f>C8+C9+C10</f>
        <v>0</v>
      </c>
      <c r="D11" s="19">
        <f>D8+D9+D10</f>
        <v>0</v>
      </c>
      <c r="E11" s="19">
        <f>E8+E9+E10</f>
        <v>0</v>
      </c>
      <c r="F11" s="19">
        <f>F8+F9+F10</f>
        <v>0</v>
      </c>
      <c r="G11" s="19">
        <f>G8+G9+G10</f>
        <v>0</v>
      </c>
      <c r="H11" s="19">
        <f>H8+H9+H10</f>
        <v>0</v>
      </c>
      <c r="I11" s="19">
        <f>I8+I9+I10</f>
        <v>0</v>
      </c>
      <c r="J11" s="19">
        <f>J8+J9+J10</f>
        <v>0</v>
      </c>
      <c r="K11" s="19">
        <f>K8+K9+K10</f>
        <v>0</v>
      </c>
      <c r="L11" s="19">
        <f>L8+L9+L10</f>
        <v>0</v>
      </c>
      <c r="M11" s="19">
        <f>M8+M9+M10</f>
        <v>0</v>
      </c>
      <c r="N11" s="19">
        <f>N8+N9+N10</f>
        <v>0</v>
      </c>
      <c r="O11" s="19">
        <f>O8+O9+O10</f>
        <v>0</v>
      </c>
      <c r="P11" s="19">
        <f>P8+P9+P10</f>
        <v>0</v>
      </c>
      <c r="Q11" s="19">
        <f>Q8+Q9+Q10</f>
        <v>0</v>
      </c>
      <c r="R11" s="19">
        <f>R8+R9+R10</f>
        <v>0</v>
      </c>
      <c r="S11" s="19">
        <f>S8+S9+S10</f>
        <v>0</v>
      </c>
      <c r="T11" s="19">
        <f>T8+T9+T10</f>
        <v>0</v>
      </c>
      <c r="U11" s="19">
        <f>U8+U9+U10</f>
        <v>0</v>
      </c>
      <c r="V11" s="19">
        <f>V8+V9+V10</f>
        <v>0</v>
      </c>
      <c r="W11" s="19">
        <f>W8+W9+W10</f>
        <v>0</v>
      </c>
      <c r="X11" s="19">
        <f>X8+X9+X10</f>
        <v>0</v>
      </c>
      <c r="Y11" s="19">
        <f>Y8+Y9+Y10</f>
        <v>0</v>
      </c>
      <c r="Z11" s="19">
        <f>Z8+Z9+Z10</f>
        <v>0</v>
      </c>
      <c r="AA11" s="19">
        <f>AA8+AA9+AA10</f>
        <v>0</v>
      </c>
      <c r="AB11" s="19">
        <f>AB8+AB9+AB10</f>
        <v>0</v>
      </c>
      <c r="AC11" s="19">
        <f>AC8+AC9+AC10</f>
        <v>0</v>
      </c>
      <c r="AD11" s="19">
        <f>AD8+AD9+AD10</f>
        <v>0</v>
      </c>
      <c r="AE11" s="19">
        <f>AE8+AE9+AE10</f>
        <v>0</v>
      </c>
      <c r="AF11" s="19">
        <f>AF8+AF9+AF10</f>
        <v>0</v>
      </c>
      <c r="AG11" s="19">
        <f>AG8+AG9+AG10</f>
        <v>0</v>
      </c>
      <c r="AH11" s="19">
        <f>AH8+AH9+AH10</f>
        <v>0</v>
      </c>
      <c r="AI11" s="19">
        <f>AI8+AI9+AI10</f>
        <v>0</v>
      </c>
      <c r="AJ11" s="19">
        <f>AJ8+AJ9+AJ10</f>
        <v>0</v>
      </c>
      <c r="AK11" s="19">
        <f>AK8+AK9+AK10</f>
        <v>0</v>
      </c>
      <c r="AL11" s="19">
        <f>AL8+AL9+AL10</f>
        <v>0</v>
      </c>
      <c r="AM11" s="19">
        <f>AM8+AM9+AM10</f>
        <v>0</v>
      </c>
      <c r="AN11" s="19">
        <f>AN8+AN9+AN10</f>
        <v>0</v>
      </c>
      <c r="AO11" s="19">
        <f>AO8+AO9+AO10</f>
        <v>0</v>
      </c>
      <c r="AP11" s="19">
        <f>AP8+AP9+AP10</f>
        <v>0</v>
      </c>
      <c r="AQ11" s="19">
        <f>AQ8+AQ9+AQ10</f>
        <v>0</v>
      </c>
      <c r="AR11" s="19">
        <f>AR8+AR9+AR10</f>
        <v>0</v>
      </c>
      <c r="AS11" s="19">
        <f>AS8+AS9+AS10</f>
        <v>0</v>
      </c>
      <c r="AT11" s="19">
        <f>AT8+AT9+AT10</f>
        <v>0</v>
      </c>
      <c r="AU11" s="19">
        <f>AU8+AU9+AU10</f>
        <v>0</v>
      </c>
      <c r="AV11" s="19">
        <f>AV8+AV9+AV10</f>
        <v>0</v>
      </c>
      <c r="AW11" s="19">
        <f>AW8+AW9+AW10</f>
        <v>0</v>
      </c>
      <c r="AX11" s="19">
        <f>AX8+AX9+AX10</f>
        <v>0</v>
      </c>
      <c r="AY11" s="19">
        <f>AY8+AY9+AY10</f>
        <v>0</v>
      </c>
      <c r="AZ11" s="19">
        <f>AZ8+AZ9+AZ10</f>
        <v>0</v>
      </c>
      <c r="BA11" s="19">
        <f>BA8+BA9+BA10</f>
        <v>0</v>
      </c>
      <c r="BB11" s="19">
        <f>BB8+BB9+BB10</f>
        <v>0</v>
      </c>
      <c r="BC11" s="19">
        <f>BC8+BC9+BC10</f>
        <v>0</v>
      </c>
      <c r="BD11" s="19">
        <f>BD8+BD9+BD10</f>
        <v>0</v>
      </c>
      <c r="BE11" s="19">
        <f>BE8+BE9+BE10</f>
        <v>0</v>
      </c>
      <c r="BF11" s="19">
        <f>BF8+BF9+BF10</f>
        <v>0</v>
      </c>
      <c r="BG11" s="19">
        <f>BG8+BG9+BG10</f>
        <v>0</v>
      </c>
      <c r="BH11" s="19">
        <f>BH8+BH9+BH10</f>
        <v>0</v>
      </c>
      <c r="BI11" s="19">
        <f>BI8+BI9+BI10</f>
        <v>0</v>
      </c>
    </row>
    <row r="12" spans="1:61">
      <c r="A12" s="2" t="s">
        <v>282</v>
      </c>
      <c r="B12" s="19">
        <f>Start_Cash</f>
        <v>0</v>
      </c>
      <c r="C12" s="19">
        <f>B13</f>
        <v>0</v>
      </c>
      <c r="D12" s="19">
        <f>C13</f>
        <v>0</v>
      </c>
      <c r="E12" s="19">
        <f>D13</f>
        <v>0</v>
      </c>
      <c r="F12" s="19">
        <f>E13</f>
        <v>0</v>
      </c>
      <c r="G12" s="19">
        <f>F13</f>
        <v>0</v>
      </c>
      <c r="H12" s="19">
        <f>G13</f>
        <v>0</v>
      </c>
      <c r="I12" s="19">
        <f>H13</f>
        <v>0</v>
      </c>
      <c r="J12" s="19">
        <f>I13</f>
        <v>0</v>
      </c>
      <c r="K12" s="19">
        <f>J13</f>
        <v>0</v>
      </c>
      <c r="L12" s="19">
        <f>K13</f>
        <v>0</v>
      </c>
      <c r="M12" s="19">
        <f>L13</f>
        <v>0</v>
      </c>
      <c r="N12" s="19">
        <f>M13</f>
        <v>0</v>
      </c>
      <c r="O12" s="19">
        <f>N13</f>
        <v>0</v>
      </c>
      <c r="P12" s="19">
        <f>O13</f>
        <v>0</v>
      </c>
      <c r="Q12" s="19">
        <f>P13</f>
        <v>0</v>
      </c>
      <c r="R12" s="19">
        <f>Q13</f>
        <v>0</v>
      </c>
      <c r="S12" s="19">
        <f>R13</f>
        <v>0</v>
      </c>
      <c r="T12" s="19">
        <f>S13</f>
        <v>0</v>
      </c>
      <c r="U12" s="19">
        <f>T13</f>
        <v>0</v>
      </c>
      <c r="V12" s="19">
        <f>U13</f>
        <v>0</v>
      </c>
      <c r="W12" s="19">
        <f>V13</f>
        <v>0</v>
      </c>
      <c r="X12" s="19">
        <f>W13</f>
        <v>0</v>
      </c>
      <c r="Y12" s="19">
        <f>X13</f>
        <v>0</v>
      </c>
      <c r="Z12" s="19">
        <f>Y13</f>
        <v>0</v>
      </c>
      <c r="AA12" s="19">
        <f>Z13</f>
        <v>0</v>
      </c>
      <c r="AB12" s="19">
        <f>AA13</f>
        <v>0</v>
      </c>
      <c r="AC12" s="19">
        <f>AB13</f>
        <v>0</v>
      </c>
      <c r="AD12" s="19">
        <f>AC13</f>
        <v>0</v>
      </c>
      <c r="AE12" s="19">
        <f>AD13</f>
        <v>0</v>
      </c>
      <c r="AF12" s="19">
        <f>AE13</f>
        <v>0</v>
      </c>
      <c r="AG12" s="19">
        <f>AF13</f>
        <v>0</v>
      </c>
      <c r="AH12" s="19">
        <f>AG13</f>
        <v>0</v>
      </c>
      <c r="AI12" s="19">
        <f>AH13</f>
        <v>0</v>
      </c>
      <c r="AJ12" s="19">
        <f>AI13</f>
        <v>0</v>
      </c>
      <c r="AK12" s="19">
        <f>AJ13</f>
        <v>0</v>
      </c>
      <c r="AL12" s="19">
        <f>AK13</f>
        <v>0</v>
      </c>
      <c r="AM12" s="19">
        <f>AL13</f>
        <v>0</v>
      </c>
      <c r="AN12" s="19">
        <f>AM13</f>
        <v>0</v>
      </c>
      <c r="AO12" s="19">
        <f>AN13</f>
        <v>0</v>
      </c>
      <c r="AP12" s="19">
        <f>AO13</f>
        <v>0</v>
      </c>
      <c r="AQ12" s="19">
        <f>AP13</f>
        <v>0</v>
      </c>
      <c r="AR12" s="19">
        <f>AQ13</f>
        <v>0</v>
      </c>
      <c r="AS12" s="19">
        <f>AR13</f>
        <v>0</v>
      </c>
      <c r="AT12" s="19">
        <f>AS13</f>
        <v>0</v>
      </c>
      <c r="AU12" s="19">
        <f>AT13</f>
        <v>0</v>
      </c>
      <c r="AV12" s="19">
        <f>AU13</f>
        <v>0</v>
      </c>
      <c r="AW12" s="19">
        <f>AV13</f>
        <v>0</v>
      </c>
      <c r="AX12" s="19">
        <f>AW13</f>
        <v>0</v>
      </c>
      <c r="AY12" s="19">
        <f>AX13</f>
        <v>0</v>
      </c>
      <c r="AZ12" s="19">
        <f>AY13</f>
        <v>0</v>
      </c>
      <c r="BA12" s="19">
        <f>AZ13</f>
        <v>0</v>
      </c>
      <c r="BB12" s="19">
        <f>BA13</f>
        <v>0</v>
      </c>
      <c r="BC12" s="19">
        <f>BB13</f>
        <v>0</v>
      </c>
      <c r="BD12" s="19">
        <f>BC13</f>
        <v>0</v>
      </c>
      <c r="BE12" s="19">
        <f>BD13</f>
        <v>0</v>
      </c>
      <c r="BF12" s="19">
        <f>BE13</f>
        <v>0</v>
      </c>
      <c r="BG12" s="19">
        <f>BF13</f>
        <v>0</v>
      </c>
      <c r="BH12" s="19">
        <f>BG13</f>
        <v>0</v>
      </c>
      <c r="BI12" s="19">
        <f>BH13</f>
        <v>0</v>
      </c>
    </row>
    <row r="13" spans="1:61">
      <c r="A13" s="2" t="s">
        <v>283</v>
      </c>
      <c r="B13" s="10">
        <f>B12+B11</f>
        <v>0</v>
      </c>
      <c r="C13" s="10">
        <f>C12+C11</f>
        <v>0</v>
      </c>
      <c r="D13" s="10">
        <f>D12+D11</f>
        <v>0</v>
      </c>
      <c r="E13" s="10">
        <f>E12+E11</f>
        <v>0</v>
      </c>
      <c r="F13" s="10">
        <f>F12+F11</f>
        <v>0</v>
      </c>
      <c r="G13" s="10">
        <f>G12+G11</f>
        <v>0</v>
      </c>
      <c r="H13" s="10">
        <f>H12+H11</f>
        <v>0</v>
      </c>
      <c r="I13" s="10">
        <f>I12+I11</f>
        <v>0</v>
      </c>
      <c r="J13" s="10">
        <f>J12+J11</f>
        <v>0</v>
      </c>
      <c r="K13" s="10">
        <f>K12+K11</f>
        <v>0</v>
      </c>
      <c r="L13" s="10">
        <f>L12+L11</f>
        <v>0</v>
      </c>
      <c r="M13" s="10">
        <f>M12+M11</f>
        <v>0</v>
      </c>
      <c r="N13" s="10">
        <f>N12+N11</f>
        <v>0</v>
      </c>
      <c r="O13" s="10">
        <f>O12+O11</f>
        <v>0</v>
      </c>
      <c r="P13" s="10">
        <f>P12+P11</f>
        <v>0</v>
      </c>
      <c r="Q13" s="10">
        <f>Q12+Q11</f>
        <v>0</v>
      </c>
      <c r="R13" s="10">
        <f>R12+R11</f>
        <v>0</v>
      </c>
      <c r="S13" s="10">
        <f>S12+S11</f>
        <v>0</v>
      </c>
      <c r="T13" s="10">
        <f>T12+T11</f>
        <v>0</v>
      </c>
      <c r="U13" s="10">
        <f>U12+U11</f>
        <v>0</v>
      </c>
      <c r="V13" s="10">
        <f>V12+V11</f>
        <v>0</v>
      </c>
      <c r="W13" s="10">
        <f>W12+W11</f>
        <v>0</v>
      </c>
      <c r="X13" s="10">
        <f>X12+X11</f>
        <v>0</v>
      </c>
      <c r="Y13" s="10">
        <f>Y12+Y11</f>
        <v>0</v>
      </c>
      <c r="Z13" s="10">
        <f>Z12+Z11</f>
        <v>0</v>
      </c>
      <c r="AA13" s="10">
        <f>AA12+AA11</f>
        <v>0</v>
      </c>
      <c r="AB13" s="10">
        <f>AB12+AB11</f>
        <v>0</v>
      </c>
      <c r="AC13" s="10">
        <f>AC12+AC11</f>
        <v>0</v>
      </c>
      <c r="AD13" s="10">
        <f>AD12+AD11</f>
        <v>0</v>
      </c>
      <c r="AE13" s="10">
        <f>AE12+AE11</f>
        <v>0</v>
      </c>
      <c r="AF13" s="10">
        <f>AF12+AF11</f>
        <v>0</v>
      </c>
      <c r="AG13" s="10">
        <f>AG12+AG11</f>
        <v>0</v>
      </c>
      <c r="AH13" s="10">
        <f>AH12+AH11</f>
        <v>0</v>
      </c>
      <c r="AI13" s="10">
        <f>AI12+AI11</f>
        <v>0</v>
      </c>
      <c r="AJ13" s="10">
        <f>AJ12+AJ11</f>
        <v>0</v>
      </c>
      <c r="AK13" s="10">
        <f>AK12+AK11</f>
        <v>0</v>
      </c>
      <c r="AL13" s="10">
        <f>AL12+AL11</f>
        <v>0</v>
      </c>
      <c r="AM13" s="10">
        <f>AM12+AM11</f>
        <v>0</v>
      </c>
      <c r="AN13" s="10">
        <f>AN12+AN11</f>
        <v>0</v>
      </c>
      <c r="AO13" s="10">
        <f>AO12+AO11</f>
        <v>0</v>
      </c>
      <c r="AP13" s="10">
        <f>AP12+AP11</f>
        <v>0</v>
      </c>
      <c r="AQ13" s="10">
        <f>AQ12+AQ11</f>
        <v>0</v>
      </c>
      <c r="AR13" s="10">
        <f>AR12+AR11</f>
        <v>0</v>
      </c>
      <c r="AS13" s="10">
        <f>AS12+AS11</f>
        <v>0</v>
      </c>
      <c r="AT13" s="10">
        <f>AT12+AT11</f>
        <v>0</v>
      </c>
      <c r="AU13" s="10">
        <f>AU12+AU11</f>
        <v>0</v>
      </c>
      <c r="AV13" s="10">
        <f>AV12+AV11</f>
        <v>0</v>
      </c>
      <c r="AW13" s="10">
        <f>AW12+AW11</f>
        <v>0</v>
      </c>
      <c r="AX13" s="10">
        <f>AX12+AX11</f>
        <v>0</v>
      </c>
      <c r="AY13" s="10">
        <f>AY12+AY11</f>
        <v>0</v>
      </c>
      <c r="AZ13" s="10">
        <f>AZ12+AZ11</f>
        <v>0</v>
      </c>
      <c r="BA13" s="10">
        <f>BA12+BA11</f>
        <v>0</v>
      </c>
      <c r="BB13" s="10">
        <f>BB12+BB11</f>
        <v>0</v>
      </c>
      <c r="BC13" s="10">
        <f>BC12+BC11</f>
        <v>0</v>
      </c>
      <c r="BD13" s="10">
        <f>BD12+BD11</f>
        <v>0</v>
      </c>
      <c r="BE13" s="10">
        <f>BE12+BE11</f>
        <v>0</v>
      </c>
      <c r="BF13" s="10">
        <f>BF12+BF11</f>
        <v>0</v>
      </c>
      <c r="BG13" s="10">
        <f>BG12+BG11</f>
        <v>0</v>
      </c>
      <c r="BH13" s="10">
        <f>BH12+BH11</f>
        <v>0</v>
      </c>
      <c r="BI13" s="10">
        <f>BI12+BI11</f>
        <v>0</v>
      </c>
    </row>
    <row r="14" spans="1:61">
      <c r="A14" s="2" t="s">
        <v>284</v>
      </c>
      <c r="B14" s="19">
        <f>B8+B9</f>
        <v>0</v>
      </c>
      <c r="C14" s="19">
        <f>B14+C8+C9</f>
        <v>0</v>
      </c>
      <c r="D14" s="19">
        <f>C14+D8+D9</f>
        <v>0</v>
      </c>
      <c r="E14" s="19">
        <f>D14+E8+E9</f>
        <v>0</v>
      </c>
      <c r="F14" s="19">
        <f>E14+F8+F9</f>
        <v>0</v>
      </c>
      <c r="G14" s="19">
        <f>F14+G8+G9</f>
        <v>0</v>
      </c>
      <c r="H14" s="19">
        <f>G14+H8+H9</f>
        <v>0</v>
      </c>
      <c r="I14" s="19">
        <f>H14+I8+I9</f>
        <v>0</v>
      </c>
      <c r="J14" s="19">
        <f>I14+J8+J9</f>
        <v>0</v>
      </c>
      <c r="K14" s="19">
        <f>J14+K8+K9</f>
        <v>0</v>
      </c>
      <c r="L14" s="19">
        <f>K14+L8+L9</f>
        <v>0</v>
      </c>
      <c r="M14" s="19">
        <f>L14+M8+M9</f>
        <v>0</v>
      </c>
      <c r="N14" s="19">
        <f>M14+N8+N9</f>
        <v>0</v>
      </c>
      <c r="O14" s="19">
        <f>N14+O8+O9</f>
        <v>0</v>
      </c>
      <c r="P14" s="19">
        <f>O14+P8+P9</f>
        <v>0</v>
      </c>
      <c r="Q14" s="19">
        <f>P14+Q8+Q9</f>
        <v>0</v>
      </c>
      <c r="R14" s="19">
        <f>Q14+R8+R9</f>
        <v>0</v>
      </c>
      <c r="S14" s="19">
        <f>R14+S8+S9</f>
        <v>0</v>
      </c>
      <c r="T14" s="19">
        <f>S14+T8+T9</f>
        <v>0</v>
      </c>
      <c r="U14" s="19">
        <f>T14+U8+U9</f>
        <v>0</v>
      </c>
      <c r="V14" s="19">
        <f>U14+V8+V9</f>
        <v>0</v>
      </c>
      <c r="W14" s="19">
        <f>V14+W8+W9</f>
        <v>0</v>
      </c>
      <c r="X14" s="19">
        <f>W14+X8+X9</f>
        <v>0</v>
      </c>
      <c r="Y14" s="19">
        <f>X14+Y8+Y9</f>
        <v>0</v>
      </c>
      <c r="Z14" s="19">
        <f>Y14+Z8+Z9</f>
        <v>0</v>
      </c>
      <c r="AA14" s="19">
        <f>Z14+AA8+AA9</f>
        <v>0</v>
      </c>
      <c r="AB14" s="19">
        <f>AA14+AB8+AB9</f>
        <v>0</v>
      </c>
      <c r="AC14" s="19">
        <f>AB14+AC8+AC9</f>
        <v>0</v>
      </c>
      <c r="AD14" s="19">
        <f>AC14+AD8+AD9</f>
        <v>0</v>
      </c>
      <c r="AE14" s="19">
        <f>AD14+AE8+AE9</f>
        <v>0</v>
      </c>
      <c r="AF14" s="19">
        <f>AE14+AF8+AF9</f>
        <v>0</v>
      </c>
      <c r="AG14" s="19">
        <f>AF14+AG8+AG9</f>
        <v>0</v>
      </c>
      <c r="AH14" s="19">
        <f>AG14+AH8+AH9</f>
        <v>0</v>
      </c>
      <c r="AI14" s="19">
        <f>AH14+AI8+AI9</f>
        <v>0</v>
      </c>
      <c r="AJ14" s="19">
        <f>AI14+AJ8+AJ9</f>
        <v>0</v>
      </c>
      <c r="AK14" s="19">
        <f>AJ14+AK8+AK9</f>
        <v>0</v>
      </c>
      <c r="AL14" s="19">
        <f>AK14+AL8+AL9</f>
        <v>0</v>
      </c>
      <c r="AM14" s="19">
        <f>AL14+AM8+AM9</f>
        <v>0</v>
      </c>
      <c r="AN14" s="19">
        <f>AM14+AN8+AN9</f>
        <v>0</v>
      </c>
      <c r="AO14" s="19">
        <f>AN14+AO8+AO9</f>
        <v>0</v>
      </c>
      <c r="AP14" s="19">
        <f>AO14+AP8+AP9</f>
        <v>0</v>
      </c>
      <c r="AQ14" s="19">
        <f>AP14+AQ8+AQ9</f>
        <v>0</v>
      </c>
      <c r="AR14" s="19">
        <f>AQ14+AR8+AR9</f>
        <v>0</v>
      </c>
      <c r="AS14" s="19">
        <f>AR14+AS8+AS9</f>
        <v>0</v>
      </c>
      <c r="AT14" s="19">
        <f>AS14+AT8+AT9</f>
        <v>0</v>
      </c>
      <c r="AU14" s="19">
        <f>AT14+AU8+AU9</f>
        <v>0</v>
      </c>
      <c r="AV14" s="19">
        <f>AU14+AV8+AV9</f>
        <v>0</v>
      </c>
      <c r="AW14" s="19">
        <f>AV14+AW8+AW9</f>
        <v>0</v>
      </c>
      <c r="AX14" s="19">
        <f>AW14+AX8+AX9</f>
        <v>0</v>
      </c>
      <c r="AY14" s="19">
        <f>AX14+AY8+AY9</f>
        <v>0</v>
      </c>
      <c r="AZ14" s="19">
        <f>AY14+AZ8+AZ9</f>
        <v>0</v>
      </c>
      <c r="BA14" s="19">
        <f>AZ14+BA8+BA9</f>
        <v>0</v>
      </c>
      <c r="BB14" s="19">
        <f>BA14+BB8+BB9</f>
        <v>0</v>
      </c>
      <c r="BC14" s="19">
        <f>BB14+BC8+BC9</f>
        <v>0</v>
      </c>
      <c r="BD14" s="19">
        <f>BC14+BD8+BD9</f>
        <v>0</v>
      </c>
      <c r="BE14" s="19">
        <f>BD14+BE8+BE9</f>
        <v>0</v>
      </c>
      <c r="BF14" s="19">
        <f>BE14+BF8+BF9</f>
        <v>0</v>
      </c>
      <c r="BG14" s="19">
        <f>BF14+BG8+BG9</f>
        <v>0</v>
      </c>
      <c r="BH14" s="19">
        <f>BG14+BH8+BH9</f>
        <v>0</v>
      </c>
      <c r="BI14" s="19">
        <f>BH14+BI8+BI9</f>
        <v>0</v>
      </c>
    </row>
    <row r="16" spans="1:61">
      <c r="A16" s="4" t="s">
        <v>285</v>
      </c>
      <c r="B16" s="4"/>
      <c r="C16" s="4"/>
      <c r="D16" s="4"/>
      <c r="E16" s="4"/>
      <c r="F16" s="4"/>
      <c r="G16" s="4"/>
    </row>
    <row r="17" spans="1:2">
      <c r="A17" s="2" t="s">
        <v>286</v>
      </c>
      <c r="B17" s="10">
        <f>MIN(B13:BI13)</f>
        <v>0</v>
      </c>
    </row>
    <row r="18" spans="1:2">
      <c r="A18" s="2" t="s">
        <v>287</v>
      </c>
      <c r="B18" s="18">
        <f>MATCH(MIN(B13:BI13),B13:BI13,0)</f>
        <v>0</v>
      </c>
    </row>
    <row r="19" spans="1:2">
      <c r="A19" s="2" t="s">
        <v>288</v>
      </c>
      <c r="B19" s="7">
        <f>IFERROR(MATCH(TRUE,INDEX(B13:BI13&lt;=0,0),0)-1,"60+")</f>
        <v>0</v>
      </c>
    </row>
    <row r="20" spans="1:2">
      <c r="A20" s="2" t="s">
        <v>289</v>
      </c>
      <c r="B20" s="10">
        <f>BI13</f>
        <v>0</v>
      </c>
    </row>
  </sheetData>
  <mergeCells count="2">
    <mergeCell ref="A1:BI1"/>
    <mergeCell ref="A16:G16"/>
  </mergeCells>
  <conditionalFormatting sqref="B13:BI13">
    <cfRule type="cellIs" dxfId="0" priority="1" operator="lessThan">
      <formula>100000</formula>
    </cfRule>
    <cfRule type="cellIs" dxfId="1" priority="2" operator="between">
      <formula>100000</formula>
      <formula>250000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0.7109375" customWidth="1"/>
    <col min="2" max="8" width="16.7109375" customWidth="1"/>
  </cols>
  <sheetData>
    <row r="1" spans="1:8" ht="28" customHeight="1">
      <c r="A1" s="1" t="s">
        <v>290</v>
      </c>
      <c r="B1" s="1"/>
      <c r="C1" s="1"/>
      <c r="D1" s="1"/>
      <c r="E1" s="1"/>
      <c r="F1" s="1"/>
      <c r="G1" s="1"/>
      <c r="H1" s="1"/>
    </row>
    <row r="3" spans="1:8">
      <c r="A3" s="5" t="s">
        <v>291</v>
      </c>
    </row>
    <row r="5" spans="1:8">
      <c r="A5" s="16" t="s">
        <v>292</v>
      </c>
      <c r="B5" s="16">
        <v>-0.3</v>
      </c>
      <c r="C5" s="16">
        <v>-0.2</v>
      </c>
      <c r="D5" s="16">
        <v>-0.1</v>
      </c>
      <c r="E5" s="16">
        <v>0</v>
      </c>
      <c r="F5" s="16">
        <v>0.1</v>
      </c>
      <c r="G5" s="16">
        <v>0.2</v>
      </c>
      <c r="H5" s="16">
        <v>0.3</v>
      </c>
    </row>
    <row r="6" spans="1:8">
      <c r="A6" s="2">
        <v>-0.3</v>
      </c>
      <c r="B6" s="19">
        <f>'ARR-Waterfall'!AK12*(1+-0.3)^12*(1--0.3)^12</f>
        <v>0</v>
      </c>
      <c r="C6" s="19">
        <f>'ARR-Waterfall'!AK12*(1+-0.2)^12*(1--0.3)^12</f>
        <v>0</v>
      </c>
      <c r="D6" s="19">
        <f>'ARR-Waterfall'!AK12*(1+-0.1)^12*(1--0.3)^12</f>
        <v>0</v>
      </c>
      <c r="E6" s="19">
        <f>'ARR-Waterfall'!AK12*(1+0)^12*(1--0.3)^12</f>
        <v>0</v>
      </c>
      <c r="F6" s="19">
        <f>'ARR-Waterfall'!AK12*(1+0.1)^12*(1--0.3)^12</f>
        <v>0</v>
      </c>
      <c r="G6" s="19">
        <f>'ARR-Waterfall'!AK12*(1+0.2)^12*(1--0.3)^12</f>
        <v>0</v>
      </c>
      <c r="H6" s="19">
        <f>'ARR-Waterfall'!AK12*(1+0.3)^12*(1--0.3)^12</f>
        <v>0</v>
      </c>
    </row>
    <row r="7" spans="1:8">
      <c r="A7" s="2">
        <v>-0.15</v>
      </c>
      <c r="B7" s="19">
        <f>'ARR-Waterfall'!AK12*(1+-0.3)^12*(1--0.15)^12</f>
        <v>0</v>
      </c>
      <c r="C7" s="19">
        <f>'ARR-Waterfall'!AK12*(1+-0.2)^12*(1--0.15)^12</f>
        <v>0</v>
      </c>
      <c r="D7" s="19">
        <f>'ARR-Waterfall'!AK12*(1+-0.1)^12*(1--0.15)^12</f>
        <v>0</v>
      </c>
      <c r="E7" s="19">
        <f>'ARR-Waterfall'!AK12*(1+0)^12*(1--0.15)^12</f>
        <v>0</v>
      </c>
      <c r="F7" s="19">
        <f>'ARR-Waterfall'!AK12*(1+0.1)^12*(1--0.15)^12</f>
        <v>0</v>
      </c>
      <c r="G7" s="19">
        <f>'ARR-Waterfall'!AK12*(1+0.2)^12*(1--0.15)^12</f>
        <v>0</v>
      </c>
      <c r="H7" s="19">
        <f>'ARR-Waterfall'!AK12*(1+0.3)^12*(1--0.15)^12</f>
        <v>0</v>
      </c>
    </row>
    <row r="8" spans="1:8">
      <c r="A8" s="2">
        <v>0</v>
      </c>
      <c r="B8" s="19">
        <f>'ARR-Waterfall'!AK12*(1+-0.3)^12*(1-0)^12</f>
        <v>0</v>
      </c>
      <c r="C8" s="19">
        <f>'ARR-Waterfall'!AK12*(1+-0.2)^12*(1-0)^12</f>
        <v>0</v>
      </c>
      <c r="D8" s="19">
        <f>'ARR-Waterfall'!AK12*(1+-0.1)^12*(1-0)^12</f>
        <v>0</v>
      </c>
      <c r="E8" s="19">
        <f>'ARR-Waterfall'!AK12*(1+0)^12*(1-0)^12</f>
        <v>0</v>
      </c>
      <c r="F8" s="19">
        <f>'ARR-Waterfall'!AK12*(1+0.1)^12*(1-0)^12</f>
        <v>0</v>
      </c>
      <c r="G8" s="19">
        <f>'ARR-Waterfall'!AK12*(1+0.2)^12*(1-0)^12</f>
        <v>0</v>
      </c>
      <c r="H8" s="19">
        <f>'ARR-Waterfall'!AK12*(1+0.3)^12*(1-0)^12</f>
        <v>0</v>
      </c>
    </row>
    <row r="9" spans="1:8">
      <c r="A9" s="2">
        <v>0.15</v>
      </c>
      <c r="B9" s="19">
        <f>'ARR-Waterfall'!AK12*(1+-0.3)^12*(1-0.15)^12</f>
        <v>0</v>
      </c>
      <c r="C9" s="19">
        <f>'ARR-Waterfall'!AK12*(1+-0.2)^12*(1-0.15)^12</f>
        <v>0</v>
      </c>
      <c r="D9" s="19">
        <f>'ARR-Waterfall'!AK12*(1+-0.1)^12*(1-0.15)^12</f>
        <v>0</v>
      </c>
      <c r="E9" s="19">
        <f>'ARR-Waterfall'!AK12*(1+0)^12*(1-0.15)^12</f>
        <v>0</v>
      </c>
      <c r="F9" s="19">
        <f>'ARR-Waterfall'!AK12*(1+0.1)^12*(1-0.15)^12</f>
        <v>0</v>
      </c>
      <c r="G9" s="19">
        <f>'ARR-Waterfall'!AK12*(1+0.2)^12*(1-0.15)^12</f>
        <v>0</v>
      </c>
      <c r="H9" s="19">
        <f>'ARR-Waterfall'!AK12*(1+0.3)^12*(1-0.15)^12</f>
        <v>0</v>
      </c>
    </row>
    <row r="10" spans="1:8">
      <c r="A10" s="2">
        <v>0.3</v>
      </c>
      <c r="B10" s="19">
        <f>'ARR-Waterfall'!AK12*(1+-0.3)^12*(1-0.3)^12</f>
        <v>0</v>
      </c>
      <c r="C10" s="19">
        <f>'ARR-Waterfall'!AK12*(1+-0.2)^12*(1-0.3)^12</f>
        <v>0</v>
      </c>
      <c r="D10" s="19">
        <f>'ARR-Waterfall'!AK12*(1+-0.1)^12*(1-0.3)^12</f>
        <v>0</v>
      </c>
      <c r="E10" s="19">
        <f>'ARR-Waterfall'!AK12*(1+0)^12*(1-0.3)^12</f>
        <v>0</v>
      </c>
      <c r="F10" s="19">
        <f>'ARR-Waterfall'!AK12*(1+0.1)^12*(1-0.3)^12</f>
        <v>0</v>
      </c>
      <c r="G10" s="19">
        <f>'ARR-Waterfall'!AK12*(1+0.2)^12*(1-0.3)^12</f>
        <v>0</v>
      </c>
      <c r="H10" s="19">
        <f>'ARR-Waterfall'!AK12*(1+0.3)^12*(1-0.3)^12</f>
        <v>0</v>
      </c>
    </row>
    <row r="11" spans="1:8">
      <c r="A11" s="2">
        <v>0.5</v>
      </c>
      <c r="B11" s="19">
        <f>'ARR-Waterfall'!AK12*(1+-0.3)^12*(1-0.5)^12</f>
        <v>0</v>
      </c>
      <c r="C11" s="19">
        <f>'ARR-Waterfall'!AK12*(1+-0.2)^12*(1-0.5)^12</f>
        <v>0</v>
      </c>
      <c r="D11" s="19">
        <f>'ARR-Waterfall'!AK12*(1+-0.1)^12*(1-0.5)^12</f>
        <v>0</v>
      </c>
      <c r="E11" s="19">
        <f>'ARR-Waterfall'!AK12*(1+0)^12*(1-0.5)^12</f>
        <v>0</v>
      </c>
      <c r="F11" s="19">
        <f>'ARR-Waterfall'!AK12*(1+0.1)^12*(1-0.5)^12</f>
        <v>0</v>
      </c>
      <c r="G11" s="19">
        <f>'ARR-Waterfall'!AK12*(1+0.2)^12*(1-0.5)^12</f>
        <v>0</v>
      </c>
      <c r="H11" s="19">
        <f>'ARR-Waterfall'!AK12*(1+0.3)^12*(1-0.5)^12</f>
        <v>0</v>
      </c>
    </row>
    <row r="12" spans="1:8">
      <c r="A12" s="2">
        <v>1</v>
      </c>
      <c r="B12" s="19">
        <f>'ARR-Waterfall'!AK12*(1+-0.3)^12*(1-1.0)^12</f>
        <v>0</v>
      </c>
      <c r="C12" s="19">
        <f>'ARR-Waterfall'!AK12*(1+-0.2)^12*(1-1.0)^12</f>
        <v>0</v>
      </c>
      <c r="D12" s="19">
        <f>'ARR-Waterfall'!AK12*(1+-0.1)^12*(1-1.0)^12</f>
        <v>0</v>
      </c>
      <c r="E12" s="19">
        <f>'ARR-Waterfall'!AK12*(1+0)^12*(1-1.0)^12</f>
        <v>0</v>
      </c>
      <c r="F12" s="19">
        <f>'ARR-Waterfall'!AK12*(1+0.1)^12*(1-1.0)^12</f>
        <v>0</v>
      </c>
      <c r="G12" s="19">
        <f>'ARR-Waterfall'!AK12*(1+0.2)^12*(1-1.0)^12</f>
        <v>0</v>
      </c>
      <c r="H12" s="19">
        <f>'ARR-Waterfall'!AK12*(1+0.3)^12*(1-1.0)^12</f>
        <v>0</v>
      </c>
    </row>
  </sheetData>
  <mergeCells count="1">
    <mergeCell ref="A1:H1"/>
  </mergeCells>
  <conditionalFormatting sqref="B6:H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0.7109375" customWidth="1"/>
    <col min="2" max="5" width="16.7109375" customWidth="1"/>
  </cols>
  <sheetData>
    <row r="1" spans="1:5" ht="28" customHeight="1">
      <c r="A1" s="1" t="s">
        <v>293</v>
      </c>
      <c r="B1" s="1"/>
      <c r="C1" s="1"/>
      <c r="D1" s="1"/>
      <c r="E1" s="1"/>
    </row>
    <row r="2" spans="1:5">
      <c r="A2" s="5" t="s">
        <v>294</v>
      </c>
    </row>
    <row r="4" spans="1:5">
      <c r="A4" s="16" t="s">
        <v>295</v>
      </c>
      <c r="B4" s="16" t="s">
        <v>38</v>
      </c>
      <c r="C4" s="16" t="s">
        <v>296</v>
      </c>
      <c r="D4" s="16" t="s">
        <v>297</v>
      </c>
      <c r="E4" s="16" t="s">
        <v>298</v>
      </c>
    </row>
    <row r="5" spans="1:5">
      <c r="A5" s="2" t="s">
        <v>299</v>
      </c>
      <c r="B5" s="7">
        <v>1</v>
      </c>
      <c r="C5" s="7">
        <v>1.25</v>
      </c>
      <c r="D5" s="7">
        <v>0.75</v>
      </c>
      <c r="E5" s="7">
        <v>0.5</v>
      </c>
    </row>
    <row r="6" spans="1:5">
      <c r="A6" s="2" t="s">
        <v>300</v>
      </c>
      <c r="B6" s="7">
        <v>1</v>
      </c>
      <c r="C6" s="7">
        <v>0.75</v>
      </c>
      <c r="D6" s="7">
        <v>1.5</v>
      </c>
      <c r="E6" s="7">
        <v>2</v>
      </c>
    </row>
    <row r="7" spans="1:5">
      <c r="A7" s="2" t="s">
        <v>301</v>
      </c>
      <c r="B7" s="7">
        <v>1</v>
      </c>
      <c r="C7" s="7">
        <v>1.2</v>
      </c>
      <c r="D7" s="7">
        <v>0.85</v>
      </c>
      <c r="E7" s="7">
        <v>0.7</v>
      </c>
    </row>
    <row r="8" spans="1:5">
      <c r="A8" s="2" t="s">
        <v>302</v>
      </c>
      <c r="B8" s="7">
        <v>0.05</v>
      </c>
      <c r="C8" s="7">
        <v>0.03</v>
      </c>
      <c r="D8" s="7">
        <v>0.08</v>
      </c>
      <c r="E8" s="7">
        <v>0.15</v>
      </c>
    </row>
    <row r="10" spans="1:5">
      <c r="A10" s="2" t="s">
        <v>303</v>
      </c>
      <c r="B10" s="10">
        <f>'ARR-Waterfall'!AK12</f>
        <v>0</v>
      </c>
    </row>
    <row r="11" spans="1:5">
      <c r="A11" s="2" t="s">
        <v>304</v>
      </c>
      <c r="B11" s="10">
        <f>'ARR-Waterfall'!BI12</f>
        <v>0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 ht="30" customHeight="1">
      <c r="A1" s="1" t="s">
        <v>305</v>
      </c>
      <c r="B1" s="1"/>
      <c r="C1" s="1"/>
      <c r="D1" s="1"/>
    </row>
    <row r="4" spans="1:4" ht="22" customHeight="1">
      <c r="A4" s="20" t="s">
        <v>306</v>
      </c>
      <c r="B4" s="21">
        <f>PnL!B6</f>
        <v>0</v>
      </c>
    </row>
    <row r="5" spans="1:4" ht="22" customHeight="1">
      <c r="A5" s="20" t="s">
        <v>307</v>
      </c>
      <c r="B5" s="21">
        <f>PnL!D6</f>
        <v>0</v>
      </c>
    </row>
    <row r="6" spans="1:4" ht="22" customHeight="1">
      <c r="A6" s="20" t="s">
        <v>308</v>
      </c>
      <c r="B6" s="21">
        <f>PnL!F6</f>
        <v>0</v>
      </c>
    </row>
    <row r="7" spans="1:4" ht="22" customHeight="1">
      <c r="A7" s="20" t="s">
        <v>309</v>
      </c>
      <c r="B7" s="22">
        <f>PnL!D19</f>
        <v>0</v>
      </c>
    </row>
    <row r="8" spans="1:4" ht="22" customHeight="1">
      <c r="A8" s="20" t="s">
        <v>310</v>
      </c>
      <c r="B8" s="21">
        <f>'ARR-Waterfall'!AK12</f>
        <v>0</v>
      </c>
    </row>
    <row r="9" spans="1:4" ht="22" customHeight="1">
      <c r="A9" s="20" t="s">
        <v>311</v>
      </c>
      <c r="B9" s="21">
        <f>'ARR-Waterfall'!BI12</f>
        <v>0</v>
      </c>
    </row>
    <row r="10" spans="1:4" ht="22" customHeight="1">
      <c r="A10" s="20" t="s">
        <v>312</v>
      </c>
      <c r="B10" s="21">
        <f>Cash!B17</f>
        <v>0</v>
      </c>
    </row>
    <row r="11" spans="1:4" ht="22" customHeight="1">
      <c r="A11" s="20" t="s">
        <v>313</v>
      </c>
      <c r="B11" s="23">
        <f>Cash!B18</f>
        <v>0</v>
      </c>
    </row>
    <row r="12" spans="1:4" ht="22" customHeight="1">
      <c r="A12" s="20" t="s">
        <v>314</v>
      </c>
      <c r="B12" s="22">
        <f>GM_P</f>
        <v>0</v>
      </c>
    </row>
    <row r="13" spans="1:4" ht="22" customHeight="1">
      <c r="A13" s="20" t="s">
        <v>315</v>
      </c>
      <c r="B13" s="22">
        <f>1+(Expansion_P-Rev_Churn_P-Contraction_P)*12</f>
        <v>0</v>
      </c>
    </row>
    <row r="14" spans="1:4" ht="22" customHeight="1">
      <c r="A14" s="20" t="s">
        <v>316</v>
      </c>
      <c r="B14" s="22">
        <f>MAX(0,1-Rev_Churn_P*12)</f>
        <v>0</v>
      </c>
    </row>
    <row r="15" spans="1:4" ht="22" customHeight="1">
      <c r="A15" s="20" t="s">
        <v>317</v>
      </c>
      <c r="B15" s="23">
        <f>(ARPA_P*GM_P/Logo_Churn_P)/CAC_P</f>
        <v>0</v>
      </c>
    </row>
    <row r="16" spans="1:4" ht="22" customHeight="1">
      <c r="A16" s="20" t="s">
        <v>318</v>
      </c>
      <c r="B16" s="23">
        <f>CAC_P/(ARPA_P*GM_P)</f>
        <v>0</v>
      </c>
    </row>
    <row r="17" spans="1:2" ht="22" customHeight="1">
      <c r="A17" s="20" t="s">
        <v>319</v>
      </c>
      <c r="B17" s="22">
        <f>('ARR-Waterfall'!AK12/'ARR-Waterfall'!Y12-1)+PnL!D19</f>
        <v>0</v>
      </c>
    </row>
    <row r="18" spans="1:2" ht="22" customHeight="1">
      <c r="A18" s="20" t="s">
        <v>320</v>
      </c>
      <c r="B18" s="23">
        <f>(('ARR-Waterfall'!Y12-'ARR-Waterfall'!M12))/(PnL!B10)</f>
        <v>0</v>
      </c>
    </row>
    <row r="19" spans="1:2" ht="22" customHeight="1">
      <c r="A19" s="20" t="s">
        <v>321</v>
      </c>
      <c r="B19" s="23">
        <f>IF(('ARR-Waterfall'!Y12-'ARR-Waterfall'!M12)&gt;0,MAX(0,-PnL!C18)/('ARR-Waterfall'!Y12-'ARR-Waterfall'!M12),999)</f>
        <v>0</v>
      </c>
    </row>
    <row r="20" spans="1:2" ht="22" customHeight="1">
      <c r="A20" s="20" t="s">
        <v>322</v>
      </c>
      <c r="B20" s="23">
        <f>(Expansion_P+M1_Logos*ARPA_P/'ARR-Waterfall'!M12*12)/(Rev_Churn_P+Contraction_P)</f>
        <v>0</v>
      </c>
    </row>
  </sheetData>
  <mergeCells count="1">
    <mergeCell ref="A1:D1"/>
  </mergeCells>
  <conditionalFormatting sqref="B15">
    <cfRule type="cellIs" dxfId="2" priority="1" operator="greaterThanOrEqual">
      <formula>3</formula>
    </cfRule>
    <cfRule type="cellIs" dxfId="1" priority="2" operator="between">
      <formula>1.5</formula>
      <formula>3</formula>
    </cfRule>
    <cfRule type="cellIs" dxfId="0" priority="3" operator="lessThan">
      <formula>1.5</formula>
    </cfRule>
  </conditionalFormatting>
  <conditionalFormatting sqref="B16">
    <cfRule type="cellIs" dxfId="2" priority="4" operator="lessThanOrEqual">
      <formula>18</formula>
    </cfRule>
    <cfRule type="cellIs" dxfId="1" priority="5" operator="between">
      <formula>18</formula>
      <formula>30</formula>
    </cfRule>
    <cfRule type="cellIs" dxfId="0" priority="6" operator="greaterThan">
      <formula>30</formula>
    </cfRule>
  </conditionalFormatting>
  <conditionalFormatting sqref="B17">
    <cfRule type="cellIs" dxfId="2" priority="7" operator="greaterThanOrEqual">
      <formula>0.4</formula>
    </cfRule>
    <cfRule type="cellIs" dxfId="1" priority="8" operator="between">
      <formula>0.3</formula>
      <formula>0.4</formula>
    </cfRule>
    <cfRule type="cellIs" dxfId="0" priority="9" operator="lessThan">
      <formula>0.3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24" t="s">
        <v>323</v>
      </c>
      <c r="B1" s="24"/>
    </row>
    <row r="3" spans="1:2" ht="60" customHeight="1">
      <c r="A3" s="2" t="s">
        <v>324</v>
      </c>
      <c r="B3" s="25" t="s">
        <v>325</v>
      </c>
    </row>
    <row r="4" spans="1:2" ht="60" customHeight="1">
      <c r="A4" s="2" t="s">
        <v>326</v>
      </c>
      <c r="B4" s="25" t="s">
        <v>327</v>
      </c>
    </row>
    <row r="5" spans="1:2" ht="60" customHeight="1">
      <c r="A5" s="2" t="s">
        <v>328</v>
      </c>
      <c r="B5" s="25" t="s">
        <v>329</v>
      </c>
    </row>
    <row r="6" spans="1:2" ht="60" customHeight="1">
      <c r="A6" s="2" t="s">
        <v>330</v>
      </c>
      <c r="B6" s="25" t="s">
        <v>331</v>
      </c>
    </row>
    <row r="7" spans="1:2" ht="60" customHeight="1">
      <c r="A7" s="2" t="s">
        <v>332</v>
      </c>
      <c r="B7" s="25" t="s">
        <v>333</v>
      </c>
    </row>
    <row r="8" spans="1:2" ht="60" customHeight="1">
      <c r="A8" s="2" t="s">
        <v>334</v>
      </c>
      <c r="B8" s="25" t="s">
        <v>335</v>
      </c>
    </row>
    <row r="9" spans="1:2" ht="60" customHeight="1">
      <c r="A9" s="2" t="s">
        <v>336</v>
      </c>
      <c r="B9" s="25" t="s">
        <v>337</v>
      </c>
    </row>
    <row r="10" spans="1:2" ht="60" customHeight="1">
      <c r="A10" s="2" t="s">
        <v>338</v>
      </c>
      <c r="B10" s="25" t="s">
        <v>339</v>
      </c>
    </row>
    <row r="11" spans="1:2" ht="60" customHeight="1">
      <c r="A11" s="2" t="s">
        <v>340</v>
      </c>
      <c r="B11" s="25" t="s">
        <v>341</v>
      </c>
    </row>
    <row r="12" spans="1:2" ht="60" customHeight="1">
      <c r="A12" s="2" t="s">
        <v>342</v>
      </c>
      <c r="B12" s="25" t="s">
        <v>343</v>
      </c>
    </row>
    <row r="13" spans="1:2" ht="60" customHeight="1">
      <c r="A13" s="2" t="s">
        <v>344</v>
      </c>
      <c r="B13" s="25" t="s">
        <v>345</v>
      </c>
    </row>
    <row r="14" spans="1:2" ht="60" customHeight="1">
      <c r="A14" s="2" t="s">
        <v>346</v>
      </c>
      <c r="B14" s="25" t="s">
        <v>347</v>
      </c>
    </row>
    <row r="15" spans="1:2" ht="60" customHeight="1">
      <c r="A15" s="2" t="s">
        <v>348</v>
      </c>
      <c r="B15" s="25" t="s">
        <v>349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41</vt:i4>
      </vt:variant>
    </vt:vector>
  </HeadingPairs>
  <TitlesOfParts>
    <vt:vector size="52" baseType="lpstr">
      <vt:lpstr>README</vt:lpstr>
      <vt:lpstr>Inputs</vt:lpstr>
      <vt:lpstr>ARR-Waterfall</vt:lpstr>
      <vt:lpstr>MRR-Detail</vt:lpstr>
      <vt:lpstr>Headcount</vt:lpstr>
      <vt:lpstr>PnL</vt:lpstr>
      <vt:lpstr>Cash</vt:lpstr>
      <vt:lpstr>Sensitivity</vt:lpstr>
      <vt:lpstr>Scenarios</vt:lpstr>
      <vt:lpstr>Bankability-Dashboard</vt:lpstr>
      <vt:lpstr>Africa-Notes</vt:lpstr>
      <vt:lpstr>ARPA_Mult</vt:lpstr>
      <vt:lpstr>ARPA_P</vt:lpstr>
      <vt:lpstr>CAC_P</vt:lpstr>
      <vt:lpstr>Capex_Y1</vt:lpstr>
      <vt:lpstr>Capex_Y2</vt:lpstr>
      <vt:lpstr>Capex_Y3</vt:lpstr>
      <vt:lpstr>Capex_Y4</vt:lpstr>
      <vt:lpstr>Capex_Y5</vt:lpstr>
      <vt:lpstr>Churn_Mult</vt:lpstr>
      <vt:lpstr>COGS_PCT</vt:lpstr>
      <vt:lpstr>Contraction_P</vt:lpstr>
      <vt:lpstr>Eq_Y1</vt:lpstr>
      <vt:lpstr>Eq_Y2</vt:lpstr>
      <vt:lpstr>Eq_Y3</vt:lpstr>
      <vt:lpstr>Expansion_P</vt:lpstr>
      <vt:lpstr>FX_P</vt:lpstr>
      <vt:lpstr>G_Y1</vt:lpstr>
      <vt:lpstr>G_Y2</vt:lpstr>
      <vt:lpstr>G_Y3</vt:lpstr>
      <vt:lpstr>G_Y4</vt:lpstr>
      <vt:lpstr>G_Y5</vt:lpstr>
      <vt:lpstr>GA_Y1</vt:lpstr>
      <vt:lpstr>GA_Y2</vt:lpstr>
      <vt:lpstr>GA_Y3p</vt:lpstr>
      <vt:lpstr>GM_P</vt:lpstr>
      <vt:lpstr>HC_Cost_Y1</vt:lpstr>
      <vt:lpstr>HC_Q_Cost_Row</vt:lpstr>
      <vt:lpstr>HC_Total_Y1</vt:lpstr>
      <vt:lpstr>Logo_Churn_P</vt:lpstr>
      <vt:lpstr>Logo_Mult</vt:lpstr>
      <vt:lpstr>M1_Logos</vt:lpstr>
      <vt:lpstr>RD_Y1</vt:lpstr>
      <vt:lpstr>RD_Y2</vt:lpstr>
      <vt:lpstr>RD_Y3p</vt:lpstr>
      <vt:lpstr>Rev_Churn_P</vt:lpstr>
      <vt:lpstr>Scen_Active</vt:lpstr>
      <vt:lpstr>SM_Y1</vt:lpstr>
      <vt:lpstr>SM_Y2</vt:lpstr>
      <vt:lpstr>SM_Y3p</vt:lpstr>
      <vt:lpstr>Start_Cash</vt:lpstr>
      <vt:lpstr>Tax_Rate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2026-05-11T12:49:41Z</dcterms:created>
  <dcterms:modified xsi:type="dcterms:W3CDTF">2026-05-11T12:49:41Z</dcterms:modified>
</cp:coreProperties>
</file>