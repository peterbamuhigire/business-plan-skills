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Inputs" sheetId="2" r:id="rId2"/>
    <sheet name="Cost-Per-Task" sheetId="3" r:id="rId3"/>
    <sheet name="Margin-Analysis" sheetId="4" r:id="rId4"/>
    <sheet name="Sensitivity" sheetId="5" r:id="rId5"/>
    <sheet name="Stress-Test" sheetId="6" r:id="rId6"/>
    <sheet name="Dashboard" sheetId="7" r:id="rId7"/>
    <sheet name="Africa-Notes" sheetId="8" r:id="rId8"/>
  </sheets>
  <definedNames>
    <definedName name="AGT_GM_Target_Ent">Inputs!$D$40</definedName>
    <definedName name="AGT_Markup_Ent">Inputs!$D$41</definedName>
    <definedName name="AGT_TasksPM_Ent">Inputs!$D$7</definedName>
    <definedName name="AGT_Tenants_Ent">Inputs!$D$6</definedName>
    <definedName name="Branch_Avg">Inputs!$C$11</definedName>
    <definedName name="FX_KES_A">Inputs!$B$44</definedName>
    <definedName name="FX_NGN_A">Inputs!$B$45</definedName>
    <definedName name="FX_UGX_A">Inputs!$B$43</definedName>
    <definedName name="Retry_Avg">Inputs!$C$12</definedName>
  </definedNames>
  <calcPr calcId="124519" fullCalcOnLoad="1"/>
</workbook>
</file>

<file path=xl/sharedStrings.xml><?xml version="1.0" encoding="utf-8"?>
<sst xmlns="http://schemas.openxmlformats.org/spreadsheetml/2006/main" count="239" uniqueCount="232">
  <si>
    <t>SaaS Agent Cost-Per-Task Calculator</t>
  </si>
  <si>
    <t>Purpose</t>
  </si>
  <si>
    <t>Per-tier agent cost engine for AI-agent SaaS products. Builds the agent COGS waterfall from inputs: (planner steps + worker steps x parallel branches) x (1 + retries) x LLM tokens + tool invocations + HITL escalations + vector + observability + eval overhead + retraining amortisation + safety floor + supervision overhead. Produces cost-per-attempted-task AND cost-per-resolved-task (the true unit, since failed / abandoned tasks still consume cost and must amortise across resolved outcomes). Includes margin analysis vs per-resolution pricing, 2-D sensitivity, eight pre-coded stress scenarios, dashboard with traffic lights, and Africa-specific adjustments.</t>
  </si>
  <si>
    <t>Sheets in this workbook</t>
  </si>
  <si>
    <t>Inputs</t>
  </si>
  <si>
    <t>Yellow cells. Tier mix, per-task agent dimensions, LLM rates, tools, HITL, eval, reserves, FX.</t>
  </si>
  <si>
    <t>Cost-Per-Task</t>
  </si>
  <si>
    <t>Per-tier waterfall: step inflation, LLM, tool, HITL, vector, observability, eval, retraining, safety floor, supervision. Cost per attempted vs resolved task. Sensitivity columns.</t>
  </si>
  <si>
    <t>Margin-Analysis</t>
  </si>
  <si>
    <t>Agent price per resolved task × resolution rate vs cost-per-resolved-task → agent gross margin per tier; contribution margin including S&amp;M attribution.</t>
  </si>
  <si>
    <t>Sensitivity</t>
  </si>
  <si>
    <t>Four 2-D tables: tokens/step × $/1k; intervention-rate × HITL $/min; tools/task × external-%; parallel branches × retries factor (step inflation).</t>
  </si>
  <si>
    <t>Stress-Test</t>
  </si>
  <si>
    <t>Six pre-coded scenarios: Provider 5x; Intervention 2x; Model deprecation 2x; Tool-vendor outage 3x; Abandonment 50→25% (positive); Combined shock.</t>
  </si>
  <si>
    <t>Dashboard</t>
  </si>
  <si>
    <t>Cost-per-resolved by tier with traffic lights (&gt;70% GM green / 50-70 amber / &lt;50 red); stress waterfall chart; reference to AI-cost-of-tenant baseline.</t>
  </si>
  <si>
    <t>Africa-Notes</t>
  </si>
  <si>
    <t>Agent-specific FX clauses, mobile-money in tool costs, longer collection cycles for SLA-tied per-resolution pricing, USD pricing for Enterprise, sovereign-AI premium.</t>
  </si>
  <si>
    <t>Owner</t>
  </si>
  <si>
    <t>CFO + Head of Agent (joint ownership); Eval Engineer for intervention rate; Tool Engineer for tool cost share</t>
  </si>
  <si>
    <t>Update cadence</t>
  </si>
  <si>
    <t>Weekly: cost-per-resolved-task, cost-per-task weighted, intervention rate, tool reliability. Monthly: agent gross margin, HITL share, tool-cost share, retry overhead share, provider pricing watch. Quarterly: model-migration reserve, irreversibility reserve. Variance &gt;+15% WoW on cost-per-resolved triggers a re-plan loop per meta-living-plan-governance.</t>
  </si>
  <si>
    <t>Living-plan discipline</t>
  </si>
  <si>
    <t>All yellow cells are user-editable inputs. White cells are formulas — do not overwrite. Refresh inputs on the cadence above. Any variance &gt;10% versus plan triggers a re-plan loop per skills/meta-living-plan-governance.</t>
  </si>
  <si>
    <t>Sources / methodology</t>
  </si>
  <si>
    <t>saas-agent-cost-per-task-calculator-spec.md, saas-agent-unit-economics-template.md (this engine); book-extractions/agent-products-business-plan-audit-2026.md COGS waterfall; saas-ai-cost-of-tenant-calculator.xlsx (single-shot baseline this workbook extends to multi-step).</t>
  </si>
  <si>
    <t>Currency convention</t>
  </si>
  <si>
    <t>All inputs in USD. Use FX cell on Inputs sheet to display local-currency equivalents (UGX, KES, NGN, ZAR, EGP). Mobile-money (M-Pesa / MoMo) and card-rail fees enter as % of revenue.</t>
  </si>
  <si>
    <t>Inputs — Agent Cost-Per-Task Calculator</t>
  </si>
  <si>
    <t>Yellow = input. White = formula. Three tiers: Free, Pro, Enterprise.</t>
  </si>
  <si>
    <t>1. Tenant Mix &amp; Volume</t>
  </si>
  <si>
    <t>Free</t>
  </si>
  <si>
    <t>Pro</t>
  </si>
  <si>
    <t>Enterprise</t>
  </si>
  <si>
    <t>Notes</t>
  </si>
  <si>
    <t>Tenants (count)</t>
  </si>
  <si>
    <t>Active customer count by tier.</t>
  </si>
  <si>
    <t>Active tasks per tenant per month</t>
  </si>
  <si>
    <t>Tasks attempted per tenant per month.</t>
  </si>
  <si>
    <t>2. Per-Task Agent Architecture</t>
  </si>
  <si>
    <t>Avg planner steps per task</t>
  </si>
  <si>
    <t>Plan / decompose step(s) before workers.</t>
  </si>
  <si>
    <t>Avg worker steps per task</t>
  </si>
  <si>
    <t>Worker LLM calls per task (single branch).</t>
  </si>
  <si>
    <t>Parallel branches per task</t>
  </si>
  <si>
    <t>Fan-out factor for multi-agent designs. 1 = single agent.</t>
  </si>
  <si>
    <t>Retries factor (% of steps retried)</t>
  </si>
  <si>
    <t>Retry-overhead multiplier on step count.</t>
  </si>
  <si>
    <t>Abandonment rate</t>
  </si>
  <si>
    <t>% of attempted tasks the user abandons. Divides into cost-per-resolved.</t>
  </si>
  <si>
    <t>Intervention (HITL escalation) rate</t>
  </si>
  <si>
    <t>% of tasks needing human help.</t>
  </si>
  <si>
    <t>HITL minutes per intervention</t>
  </si>
  <si>
    <t>Avg minutes a human spends per escalated task.</t>
  </si>
  <si>
    <t>HITL fully-loaded $/min</t>
  </si>
  <si>
    <t>Loaded HITL hourly rate / 60. Africa-low end Free; US-comparable Ent.</t>
  </si>
  <si>
    <t>3. LLM Token Dimensions (per step, three model classes)</t>
  </si>
  <si>
    <t>Input tokens per step (avg)</t>
  </si>
  <si>
    <t>Prompt + RAG context + chat history per step.</t>
  </si>
  <si>
    <t>Output tokens per step (avg)</t>
  </si>
  <si>
    <t>Generation tokens per step.</t>
  </si>
  <si>
    <t>Cheap-router model $/1k input</t>
  </si>
  <si>
    <t>Routing / cheap step price. Llama / Haiku class.</t>
  </si>
  <si>
    <t>Cheap-router model $/1k output</t>
  </si>
  <si>
    <t>Planner model $/1k input</t>
  </si>
  <si>
    <t>Planner LLM. GPT-4o-mini → GPT-4o / Sonnet.</t>
  </si>
  <si>
    <t>Planner model $/1k output</t>
  </si>
  <si>
    <t>Worker model $/1k input</t>
  </si>
  <si>
    <t>Worker LLM (typically mid-tier).</t>
  </si>
  <si>
    <t>Worker model $/1k output</t>
  </si>
  <si>
    <t>4. Tools, Vector, Observability</t>
  </si>
  <si>
    <t>Tool calls per task</t>
  </si>
  <si>
    <t>Avg invocations to external tools per task.</t>
  </si>
  <si>
    <t>% of tool calls external (paid)</t>
  </si>
  <si>
    <t>Fraction that incurs vendor cost (rest internal/free).</t>
  </si>
  <si>
    <t>Avg external tool call $</t>
  </si>
  <si>
    <t>Avg per-invocation tariff (CRM/ERP/payment/KYC/etc).</t>
  </si>
  <si>
    <t>Vector store $/task</t>
  </si>
  <si>
    <t>Pinecone / Qdrant / pgvector per-query allocation.</t>
  </si>
  <si>
    <t>Observability $/task</t>
  </si>
  <si>
    <t>Langfuse / LangSmith / Helicone per-trace allocation.</t>
  </si>
  <si>
    <t>5. Overheads, Retraining &amp; Safety</t>
  </si>
  <si>
    <t>Eval overhead (% of LLM+tool cost)</t>
  </si>
  <si>
    <t>Online + offline eval re-runs as a % of direct AI+tool.</t>
  </si>
  <si>
    <t>Retraining amortisation $/task</t>
  </si>
  <si>
    <t>Monthly retrain cost / monthly task volume.</t>
  </si>
  <si>
    <t>Supervision overhead (% of LLM)</t>
  </si>
  <si>
    <t>Critic / supervisor LLM calls overhead.</t>
  </si>
  <si>
    <t>Safety floor — red-team $/task</t>
  </si>
  <si>
    <t>Red-team monitoring, jailbreak detection.</t>
  </si>
  <si>
    <t>6. Pricing &amp; Margin Targets</t>
  </si>
  <si>
    <t>Per-resolved-task price ($)</t>
  </si>
  <si>
    <t>Headline price per resolved (Free tier may be $0 / tier-bundled).</t>
  </si>
  <si>
    <t>S&amp;M attribution % of revenue</t>
  </si>
  <si>
    <t>Per-resolution revenue absorbed by S&amp;M.</t>
  </si>
  <si>
    <t>Target agent gross margin</t>
  </si>
  <si>
    <t>Pricing-floor target; &lt;50 red / 50-70 amber / &gt;70 green on Dashboard.</t>
  </si>
  <si>
    <t>Internal markup (cost ceiling × price)</t>
  </si>
  <si>
    <t>If cost-per-resolved &gt; markup × price, flag tenant as above ceiling.</t>
  </si>
  <si>
    <t>7. FX &amp; Display</t>
  </si>
  <si>
    <t>FX rate UGX per USD</t>
  </si>
  <si>
    <t>FX rate KES per USD</t>
  </si>
  <si>
    <t>FX rate NGN per USD</t>
  </si>
  <si>
    <t>FX rate ZAR per USD</t>
  </si>
  <si>
    <t>FX rate EGP per USD</t>
  </si>
  <si>
    <t>Reporting currency code</t>
  </si>
  <si>
    <t>UGX</t>
  </si>
  <si>
    <t>Cost-Per-Task — Agent COGS Waterfall (USD / task)</t>
  </si>
  <si>
    <t>Step inflation × LLM (planner + worker + supervision) + tools + HITL + vector + obs + eval + retraining + safety.</t>
  </si>
  <si>
    <t>Component</t>
  </si>
  <si>
    <t>Free ×2 steps</t>
  </si>
  <si>
    <t>Pro ×2 tools</t>
  </si>
  <si>
    <t>Ent ×2 interv.</t>
  </si>
  <si>
    <t>Ent ×2 abandon</t>
  </si>
  <si>
    <t>Formula</t>
  </si>
  <si>
    <t>Step inflation (steps per attempted task)</t>
  </si>
  <si>
    <t>LLM cost (planner + worker × branches × retries)</t>
  </si>
  <si>
    <t>Tool cost (calls × external-% × $/call)</t>
  </si>
  <si>
    <t>HITL escalation cost (interv. rate × min × $/min)</t>
  </si>
  <si>
    <t>Vector store / RAG per task</t>
  </si>
  <si>
    <t>Observability / tracing per task</t>
  </si>
  <si>
    <t>Supervision (% of LLM)</t>
  </si>
  <si>
    <t>Eval overhead (% of LLM + tool)</t>
  </si>
  <si>
    <t>Retraining amortisation per task</t>
  </si>
  <si>
    <t>Safety floor (red-team monitoring)</t>
  </si>
  <si>
    <t>TOTAL cost per ATTEMPTED task</t>
  </si>
  <si>
    <t>COST per RESOLVED task (÷ (1−abandonment))</t>
  </si>
  <si>
    <t>The TRUE unit. Failed/abandoned tasks still consume cost; resolved outcomes carry that drag.</t>
  </si>
  <si>
    <t>× Tasks/month × Tenants → tier monthly cost</t>
  </si>
  <si>
    <t>Annual tier agent COGS (USD)</t>
  </si>
  <si>
    <t>GRAND total annual agent COGS (USD, all tiers)</t>
  </si>
  <si>
    <t>Sensitivity columns (×2 stress vs baseline, per tier highlighted)</t>
  </si>
  <si>
    <t>Free — cost/resolved @ ×2 steps</t>
  </si>
  <si>
    <t>Pro — cost/resolved @ ×2 tool calls</t>
  </si>
  <si>
    <t>Ent — cost/resolved @ ×2 intervention rate</t>
  </si>
  <si>
    <t>Ent — cost/resolved @ ×2 abandonment rate</t>
  </si>
  <si>
    <t>Agent Margin Analysis — by Tier</t>
  </si>
  <si>
    <t>Line</t>
  </si>
  <si>
    <t>Resolution rate (1 − abandonment)</t>
  </si>
  <si>
    <t>Agent revenue per attempted task ($)</t>
  </si>
  <si>
    <t>Cost per attempted task ($)</t>
  </si>
  <si>
    <t>Cost per resolved task ($)</t>
  </si>
  <si>
    <t>Agent gross profit per resolved ($)</t>
  </si>
  <si>
    <t>Agent gross margin %</t>
  </si>
  <si>
    <t>S&amp;M attribution per resolved ($)</t>
  </si>
  <si>
    <t>Contribution margin per resolved ($)</t>
  </si>
  <si>
    <t>Contribution margin %</t>
  </si>
  <si>
    <t>Cost ceiling ($ = markup × price)</t>
  </si>
  <si>
    <t>Above ceiling? (cost-per-resolved &gt; ceiling)</t>
  </si>
  <si>
    <t>Sensitivity — 2-D tables (Enterprise tier focus)</t>
  </si>
  <si>
    <t>1. Tokens/step (combined in+out) × Blended $/1k → LLM cost / step</t>
  </si>
  <si>
    <t>Tokens ↓  $/1k →</t>
  </si>
  <si>
    <t>2. Intervention rate × HITL $/min → HITL cost / task (Ent HITL min)</t>
  </si>
  <si>
    <t>Interv. ↓  $/min →</t>
  </si>
  <si>
    <t>3. Tools/task × External-% → tool cost / task (Ent $/call)</t>
  </si>
  <si>
    <t>Tools ↓  Ext% →</t>
  </si>
  <si>
    <t>4. Parallel branches × Retries factor → step inflation multiplier (planner=1, worker=4 ref)</t>
  </si>
  <si>
    <t>Branches ↓  Retries →</t>
  </si>
  <si>
    <t>Stress-Test — Enterprise Tier Cost-Per-Resolved</t>
  </si>
  <si>
    <t>Scenario</t>
  </si>
  <si>
    <t>Cost/resolved $</t>
  </si>
  <si>
    <t>Agent GM %</t>
  </si>
  <si>
    <t>Above ceiling?</t>
  </si>
  <si>
    <t>Δ vs base</t>
  </si>
  <si>
    <t>Mitigation</t>
  </si>
  <si>
    <t>Baseline</t>
  </si>
  <si>
    <t>n/a — reference</t>
  </si>
  <si>
    <t>Provider 5× price hike</t>
  </si>
  <si>
    <t>Emergency price-pass-through; switch provider; downshift router.</t>
  </si>
  <si>
    <t>Intervention rate doubles to ~30%</t>
  </si>
  <si>
    <t>Re-train triage; tighten policy thresholds; eval round.</t>
  </si>
  <si>
    <t>Foundation-model deprecation (2× cost forced)</t>
  </si>
  <si>
    <t>Reserve drawdown; planned migration; bench OSS fallback.</t>
  </si>
  <si>
    <t>Tool-vendor outage (3× calls via fallback chain)</t>
  </si>
  <si>
    <t>Multi-vendor failover; degrade gracefully; SLA credit.</t>
  </si>
  <si>
    <t>Positive — abandonment 50%→25% (better triage)</t>
  </si>
  <si>
    <t>Upside case if eval / triage improvements land.</t>
  </si>
  <si>
    <t>Combined shock: provider 2× + interv 2× + aband +10pp</t>
  </si>
  <si>
    <t>Multi-front response: reprice + retrain + switch + reserve.</t>
  </si>
  <si>
    <t>Dashboard — Agent Cost-Per-Task</t>
  </si>
  <si>
    <t>Free — cost per attempted task ($)</t>
  </si>
  <si>
    <t>Pro — cost per attempted task ($)</t>
  </si>
  <si>
    <t>Enterprise — cost per attempted ($)</t>
  </si>
  <si>
    <t>Free — cost per RESOLVED task ($)</t>
  </si>
  <si>
    <t>Pro — cost per RESOLVED task ($)</t>
  </si>
  <si>
    <t>Enterprise — cost per RESOLVED ($)</t>
  </si>
  <si>
    <t>Free agent GM %</t>
  </si>
  <si>
    <t>Pro agent GM %</t>
  </si>
  <si>
    <t>Enterprise agent GM %</t>
  </si>
  <si>
    <t>Pro contribution margin %</t>
  </si>
  <si>
    <t>Enterprise contribution margin %</t>
  </si>
  <si>
    <t>GRAND annual agent COGS (USD all tiers)</t>
  </si>
  <si>
    <t>GRAND annual COGS in UGX</t>
  </si>
  <si>
    <t>Baseline (AI-cost-of-tenant calc) cross-ref</t>
  </si>
  <si>
    <t>See skills/14-ai-integration/templates/saas-ai-cost-of-tenant-calculator.xlsx — agent COGS extends that single-shot model</t>
  </si>
  <si>
    <t>Africa-Specific Adjustments &amp; Notes</t>
  </si>
  <si>
    <t>FX Pass-Through</t>
  </si>
  <si>
    <t>USD-denominated cloud (AWS/Azure/GCP), AI APIs, and SaaS tooling sit against UGX/KES/NGN/ZAR/EGP revenue. Adjust gross-margin benchmarks 5–10pp downward vs US comps. Hold an FX rate on Inputs and stress it ±15% in the sensitivity tab.</t>
  </si>
  <si>
    <t>M-Pesa Payment Rail (Kenya, Tanzania)</t>
  </si>
  <si>
    <t>Typical fee 1.0–1.5% per transaction. STK-Push timeout failures generate involuntary churn — model 3-retry dunning over 7 days; recovery typically 30–50%. Track separately from voluntary churn.</t>
  </si>
  <si>
    <t>MoMo (MTN / Airtel — Uganda, Ghana, Rwanda, Nigeria)</t>
  </si>
  <si>
    <t>Fee band 1.5–2.0% per transaction. PIN-failure and float-shortage produce 4–6% annual involuntary churn vs &lt;1% US card rails. Best-practice: integrate two rails (MoMo + card) and route based on tier.</t>
  </si>
  <si>
    <t>Card Rails (Flutterwave / Paystack / Stripe)</t>
  </si>
  <si>
    <t>Card fees 2.9–3.8% + fixed. Card-decline rate 8–15% on first attempt for African issuing banks. Use Account-Updater services where available.</t>
  </si>
  <si>
    <t>USD-Enterprise Tier</t>
  </si>
  <si>
    <t>Charge Enterprise customers (&gt;$1k MRR) in USD invoiced via local entity or offshore SPV to hedge FX. Carries through to the Multi-Step P&amp;L as a separate revenue stream. Recommended for 30–60% of total ARR by Y3.</t>
  </si>
  <si>
    <t>Longer Collection Cycles</t>
  </si>
  <si>
    <t>Enterprise/public-sector DSO in Africa: 60–120 days (vs 30–45 US). Working-capital trough is deeper. Buffer trough at 9 months of opex vs the US 6-month standard.</t>
  </si>
  <si>
    <t>Annual Prepayment Uptake</t>
  </si>
  <si>
    <t>African SaaS: 20–40% of new contracts pay annually (vs 60–80% US enterprise). Discount typically 10–15%. Model deferred revenue accordingly — do not assume US prepayment economics.</t>
  </si>
  <si>
    <t>Sales-Cycle Length</t>
  </si>
  <si>
    <t>African mid-market sales cycle: 90–180 days. Enterprise: 6–18 months including procurement / public-sector RFP loops. CAC-payback benchmarks: relax US targets by 50–100%: &lt;18 (SMB), &lt;24 (Mid), &lt;36 (Ent).</t>
  </si>
  <si>
    <t>AI Cost Hedging</t>
  </si>
  <si>
    <t>LLM APIs are USD-priced. Hedge via (a) USD-priced AI premium tier, (b) per-tenant usage caps, (c) open-source model fallback (Llama-class on Bedrock/Together). The AI-cost calculator workbook models all three.</t>
  </si>
  <si>
    <t>DFI / Local-Bank Reporting</t>
  </si>
  <si>
    <t>Banks (Stanbic, Equity, KCB, Centenary) and DFIs (FMO, Norfund, Proparco, IFC) require local-currency primary view + USD parallel view. Build the model in USD here; toggle the FX row on Inputs for local presentation.</t>
  </si>
  <si>
    <t>Rule-of-40 Calibration</t>
  </si>
  <si>
    <t>Adjust to target 30 for years 1–3 of African SaaS (vs US 40). Aim for 40 by Year 4 once vertical S&amp;M is unlocked.</t>
  </si>
  <si>
    <t>Per-Resolution Pricing under FX</t>
  </si>
  <si>
    <t>Agent per-resolution prices charged in local currency face USD-denominated LLM and tool cost. Include an FX corridor in pricing (re-price quarterly if FX moves &gt;5%); Enterprise SLAs in USD. The model must hold across +/-20% FX swing per saas-agent-pricing-strategy.</t>
  </si>
  <si>
    <t>Mobile-Money in Tool Costs</t>
  </si>
  <si>
    <t>M-Pesa / MoMo per-transaction fees are real per-task line items when agents move money. Add 1.0-2.0% as an external-tool cost when agent flows include payment initiation, KYC re-verification, or disbursement.</t>
  </si>
  <si>
    <t>Longer Collection on SLA-Tied Per-Resolution Pricing</t>
  </si>
  <si>
    <t>Per-resolution billing tied to outcomes (e.g. arrears recovered, KYC completed) often invoices monthly in arrears with 60-120 day DSO. Hold a 9-month opex cushion vs the US 6-month standard. AI/tool cost is paid mid-month USD; revenue lags. Model the working-capital trough.</t>
  </si>
  <si>
    <t>USD Pricing for Enterprise Tier (Agent Edition)</t>
  </si>
  <si>
    <t>Charge Enterprise per-resolution in USD-equivalent via local entity or offshore SPV. Keep Free / Pro in local currency. This protects 60-80% of agent revenue against FX as ARR scales.</t>
  </si>
  <si>
    <t>Sovereign-AI Provider Premium</t>
  </si>
  <si>
    <t>When local-hosting is required (NITA-U directives, KE DPC, NDPC sectoral rules, ZA Info Reg), in-region GPU inference costs 1.5-3x US/EU rates. Reflect in the planner/worker $/1k cells if required by procurement.</t>
  </si>
  <si>
    <t>HITL Cost Asymmetry</t>
  </si>
  <si>
    <t>Africa HITL cost is materially lower (UGX 4-8k/hour fully-loaded vs USD 30-60 US). Agents in Africa must beat a much lower human cost floor — but HITL fallback is cheaper to operate. Adjust the HITL $/min cell to match local market; do not import US benchmarks blindly.</t>
  </si>
  <si>
    <t>Channel Cost as Per-Task Line Item</t>
  </si>
  <si>
    <t>WhatsApp Business API, USSD aggregator fees, SMS, IVR — these are real per-task costs in African contexts. Roll them into the external-tool cost ($/call × calls/task) cell with documented breakdown.</t>
  </si>
</sst>
</file>

<file path=xl/styles.xml><?xml version="1.0" encoding="utf-8"?>
<styleSheet xmlns="http://schemas.openxmlformats.org/spreadsheetml/2006/main">
  <numFmts count="5">
    <numFmt numFmtId="164" formatCode="#,##0"/>
    <numFmt numFmtId="165" formatCode="0.0%"/>
    <numFmt numFmtId="166" formatCode="$#,##0.00"/>
    <numFmt numFmtId="167" formatCode="#,##0.00"/>
    <numFmt numFmtId="168" formatCode="$#,##0"/>
  </numFmts>
  <fonts count="1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595959"/>
      <name val="Calibri"/>
      <family val="2"/>
      <scheme val="minor"/>
    </font>
    <font>
      <b/>
      <sz val="12"/>
      <color rgb="FFFFFFFF"/>
      <name val="Calibri"/>
      <family val="2"/>
      <scheme val="minor"/>
    </font>
    <font>
      <i/>
      <sz val="11"/>
      <color rgb="FF1F3864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i/>
      <sz val="11"/>
      <color rgb="FF1F386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3"/>
      <color rgb="FFFFFFFF"/>
      <name val="Calibri"/>
      <family val="2"/>
      <scheme val="minor"/>
    </font>
    <font>
      <sz val="11"/>
      <color rgb="FF7F6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C65911"/>
        <bgColor indexed="64"/>
      </patternFill>
    </fill>
  </fills>
  <borders count="4">
    <border>
      <left/>
      <right/>
      <top/>
      <bottom/>
      <diagonal/>
    </border>
    <border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3" fillId="0" borderId="0" xfId="0" applyFont="1" applyAlignment="1">
      <alignment vertical="top" wrapText="1"/>
    </xf>
    <xf numFmtId="0" fontId="4" fillId="4" borderId="2" xfId="0" applyFont="1" applyFill="1" applyBorder="1" applyAlignment="1">
      <alignment horizontal="left" vertical="center"/>
    </xf>
    <xf numFmtId="0" fontId="5" fillId="0" borderId="0" xfId="0" applyFont="1" applyAlignment="1">
      <alignment horizontal="left"/>
    </xf>
    <xf numFmtId="0" fontId="6" fillId="4" borderId="2" xfId="0" applyFont="1" applyFill="1" applyBorder="1" applyAlignment="1">
      <alignment horizontal="center" vertical="center" wrapText="1"/>
    </xf>
    <xf numFmtId="164" fontId="0" fillId="5" borderId="3" xfId="0" applyNumberFormat="1" applyFill="1" applyBorder="1" applyProtection="1">
      <protection locked="0"/>
    </xf>
    <xf numFmtId="165" fontId="0" fillId="5" borderId="3" xfId="0" applyNumberFormat="1" applyFill="1" applyBorder="1" applyProtection="1">
      <protection locked="0"/>
    </xf>
    <xf numFmtId="166" fontId="0" fillId="5" borderId="3" xfId="0" applyNumberFormat="1" applyFill="1" applyBorder="1" applyProtection="1">
      <protection locked="0"/>
    </xf>
    <xf numFmtId="167" fontId="0" fillId="5" borderId="3" xfId="0" applyNumberFormat="1" applyFill="1" applyBorder="1" applyProtection="1">
      <protection locked="0"/>
    </xf>
    <xf numFmtId="0" fontId="0" fillId="5" borderId="3" xfId="0" applyFill="1" applyBorder="1" applyProtection="1">
      <protection locked="0"/>
    </xf>
    <xf numFmtId="167" fontId="0" fillId="6" borderId="3" xfId="0" applyNumberFormat="1" applyFill="1" applyBorder="1"/>
    <xf numFmtId="166" fontId="0" fillId="6" borderId="3" xfId="0" applyNumberFormat="1" applyFill="1" applyBorder="1"/>
    <xf numFmtId="168" fontId="2" fillId="7" borderId="2" xfId="0" applyNumberFormat="1" applyFont="1" applyFill="1" applyBorder="1"/>
    <xf numFmtId="0" fontId="7" fillId="0" borderId="0" xfId="0" applyFont="1" applyAlignment="1">
      <alignment vertical="top" wrapText="1"/>
    </xf>
    <xf numFmtId="168" fontId="0" fillId="6" borderId="3" xfId="0" applyNumberFormat="1" applyFill="1" applyBorder="1"/>
    <xf numFmtId="165" fontId="0" fillId="6" borderId="3" xfId="0" applyNumberFormat="1" applyFill="1" applyBorder="1"/>
    <xf numFmtId="165" fontId="2" fillId="7" borderId="2" xfId="0" applyNumberFormat="1" applyFont="1" applyFill="1" applyBorder="1"/>
    <xf numFmtId="0" fontId="6" fillId="2" borderId="2" xfId="0" applyFont="1" applyFill="1" applyBorder="1" applyAlignment="1">
      <alignment horizontal="left" vertical="center"/>
    </xf>
    <xf numFmtId="168" fontId="8" fillId="6" borderId="2" xfId="0" applyNumberFormat="1" applyFont="1" applyFill="1" applyBorder="1" applyAlignment="1">
      <alignment horizontal="center"/>
    </xf>
    <xf numFmtId="165" fontId="8" fillId="6" borderId="2" xfId="0" applyNumberFormat="1" applyFont="1" applyFill="1" applyBorder="1" applyAlignment="1">
      <alignment horizontal="center"/>
    </xf>
    <xf numFmtId="0" fontId="9" fillId="8" borderId="2" xfId="0" applyFont="1" applyFill="1" applyBorder="1" applyAlignment="1">
      <alignment horizontal="left" vertical="center"/>
    </xf>
    <xf numFmtId="0" fontId="10" fillId="5" borderId="2" xfId="0" applyFont="1" applyFill="1" applyBorder="1" applyAlignment="1">
      <alignment vertical="top" wrapText="1"/>
    </xf>
  </cellXfs>
  <cellStyles count="1">
    <cellStyle name="Normal" xfId="0" builtinId="0"/>
  </cellStyles>
  <dxfs count="3">
    <dxf>
      <font>
        <color rgb="FF006100"/>
      </font>
      <numFmt numFmtId="169" formatCode="0.00"/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5700"/>
      </font>
      <numFmt numFmtId="169" formatCode="0.00"/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numFmt numFmtId="169" formatCode="0.00"/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Cost per Resolved Task — by Tier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Cost per resolved task</c:v>
          </c:tx>
          <c:spPr>
            <a:solidFill>
              <a:srgbClr val="1F3864"/>
            </a:solidFill>
          </c:spPr>
          <c:cat>
            <c:strRef>
              <c:f>'Cost-Per-Task'!$B$3:$D$3</c:f>
              <c:strCache>
                <c:ptCount val="3"/>
                <c:pt idx="0">
                  <c:v>Free</c:v>
                </c:pt>
                <c:pt idx="1">
                  <c:v>Pro</c:v>
                </c:pt>
                <c:pt idx="2">
                  <c:v>Enterprise</c:v>
                </c:pt>
              </c:strCache>
            </c:strRef>
          </c:cat>
          <c:val>
            <c:numRef>
              <c:f>'Cost-Per-Task'!$B$15:$D$15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USD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Agent Gross Margin % by Tier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Agent GM %</c:v>
          </c:tx>
          <c:spPr>
            <a:solidFill>
              <a:srgbClr val="2E75B6"/>
            </a:solidFill>
          </c:spPr>
          <c:cat>
            <c:strRef>
              <c:f>'Margin-Analysis'!$B$3:$D$3</c:f>
              <c:strCache>
                <c:ptCount val="3"/>
                <c:pt idx="0">
                  <c:v>Free</c:v>
                </c:pt>
                <c:pt idx="1">
                  <c:v>Pro</c:v>
                </c:pt>
                <c:pt idx="2">
                  <c:v>Enterprise</c:v>
                </c:pt>
              </c:strCache>
            </c:strRef>
          </c:cat>
          <c:val>
            <c:numRef>
              <c:f>'Margin-Analysis'!$B$10:$D$10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l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b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Stress-Test Waterfall — Enterprise Cost/Resolved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Cost per resolved (Ent)</c:v>
          </c:tx>
          <c:spPr>
            <a:solidFill>
              <a:srgbClr val="C65911"/>
            </a:solidFill>
          </c:spPr>
          <c:cat>
            <c:strRef>
              <c:f>'Stress-Test'!$A$4:$A$10</c:f>
              <c:strCache>
                <c:ptCount val="7"/>
                <c:pt idx="0">
                  <c:v>Baseline</c:v>
                </c:pt>
                <c:pt idx="1">
                  <c:v>Provider 5× price hike</c:v>
                </c:pt>
                <c:pt idx="2">
                  <c:v>Intervention rate doubles to ~30%</c:v>
                </c:pt>
                <c:pt idx="3">
                  <c:v>Foundation-model deprecation (2× cost forced)</c:v>
                </c:pt>
                <c:pt idx="4">
                  <c:v>Tool-vendor outage (3× calls via fallback chain)</c:v>
                </c:pt>
                <c:pt idx="5">
                  <c:v>Positive — abandonment 50%→25% (better triage)</c:v>
                </c:pt>
                <c:pt idx="6">
                  <c:v>Combined shock: provider 2× + interv 2× + aband +10pp</c:v>
                </c:pt>
              </c:strCache>
            </c:strRef>
          </c:cat>
          <c:val>
            <c:numRef>
              <c:f>'Stress-Test'!$B$4:$B$10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USD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15</xdr:col>
      <xdr:colOff>0</xdr:colOff>
      <xdr:row>12</xdr:row>
      <xdr:rowOff>66675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21</xdr:row>
      <xdr:rowOff>0</xdr:rowOff>
    </xdr:from>
    <xdr:to>
      <xdr:col>15</xdr:col>
      <xdr:colOff>0</xdr:colOff>
      <xdr:row>35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40</xdr:row>
      <xdr:rowOff>0</xdr:rowOff>
    </xdr:from>
    <xdr:to>
      <xdr:col>15</xdr:col>
      <xdr:colOff>457200</xdr:colOff>
      <xdr:row>54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tabSelected="1" workbookViewId="0"/>
  </sheetViews>
  <sheetFormatPr defaultRowHeight="15"/>
  <cols>
    <col min="1" max="1" width="28.7109375" customWidth="1"/>
    <col min="2" max="2" width="90.7109375" customWidth="1"/>
  </cols>
  <sheetData>
    <row r="1" spans="1:2" ht="30" customHeight="1">
      <c r="A1" s="1" t="s">
        <v>0</v>
      </c>
      <c r="B1" s="1"/>
    </row>
    <row r="3" spans="1:2">
      <c r="A3" s="2" t="s">
        <v>1</v>
      </c>
      <c r="B3" s="3" t="s">
        <v>2</v>
      </c>
    </row>
    <row r="5" spans="1:2">
      <c r="A5" s="4" t="s">
        <v>3</v>
      </c>
    </row>
    <row r="6" spans="1:2">
      <c r="A6" s="2" t="s">
        <v>4</v>
      </c>
      <c r="B6" s="3" t="s">
        <v>5</v>
      </c>
    </row>
    <row r="7" spans="1:2">
      <c r="A7" s="2" t="s">
        <v>6</v>
      </c>
      <c r="B7" s="3" t="s">
        <v>7</v>
      </c>
    </row>
    <row r="8" spans="1:2">
      <c r="A8" s="2" t="s">
        <v>8</v>
      </c>
      <c r="B8" s="3" t="s">
        <v>9</v>
      </c>
    </row>
    <row r="9" spans="1:2">
      <c r="A9" s="2" t="s">
        <v>10</v>
      </c>
      <c r="B9" s="3" t="s">
        <v>11</v>
      </c>
    </row>
    <row r="10" spans="1:2">
      <c r="A10" s="2" t="s">
        <v>12</v>
      </c>
      <c r="B10" s="3" t="s">
        <v>13</v>
      </c>
    </row>
    <row r="11" spans="1:2">
      <c r="A11" s="2" t="s">
        <v>14</v>
      </c>
      <c r="B11" s="3" t="s">
        <v>15</v>
      </c>
    </row>
    <row r="12" spans="1:2">
      <c r="A12" s="2" t="s">
        <v>16</v>
      </c>
      <c r="B12" s="3" t="s">
        <v>17</v>
      </c>
    </row>
    <row r="14" spans="1:2">
      <c r="A14" s="2" t="s">
        <v>18</v>
      </c>
      <c r="B14" s="3" t="s">
        <v>19</v>
      </c>
    </row>
    <row r="15" spans="1:2">
      <c r="A15" s="2" t="s">
        <v>20</v>
      </c>
      <c r="B15" s="3" t="s">
        <v>21</v>
      </c>
    </row>
    <row r="16" spans="1:2">
      <c r="A16" s="2" t="s">
        <v>22</v>
      </c>
      <c r="B16" s="3" t="s">
        <v>23</v>
      </c>
    </row>
    <row r="17" spans="1:2">
      <c r="A17" s="2" t="s">
        <v>24</v>
      </c>
      <c r="B17" s="3" t="s">
        <v>25</v>
      </c>
    </row>
    <row r="19" spans="1:2">
      <c r="A19" s="2" t="s">
        <v>26</v>
      </c>
      <c r="B19" s="3" t="s">
        <v>27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8"/>
  <sheetViews>
    <sheetView workbookViewId="0"/>
  </sheetViews>
  <sheetFormatPr defaultRowHeight="15"/>
  <cols>
    <col min="1" max="1" width="48.7109375" customWidth="1"/>
    <col min="2" max="4" width="14.7109375" customWidth="1"/>
    <col min="5" max="5" width="4.7109375" customWidth="1"/>
    <col min="6" max="6" width="60.7109375" customWidth="1"/>
  </cols>
  <sheetData>
    <row r="1" spans="1:6" ht="28" customHeight="1">
      <c r="A1" s="1" t="s">
        <v>28</v>
      </c>
      <c r="B1" s="1"/>
      <c r="C1" s="1"/>
      <c r="D1" s="1"/>
      <c r="E1" s="1"/>
      <c r="F1" s="1"/>
    </row>
    <row r="2" spans="1:6">
      <c r="A2" s="5" t="s">
        <v>29</v>
      </c>
    </row>
    <row r="4" spans="1:6">
      <c r="A4" s="4" t="s">
        <v>30</v>
      </c>
      <c r="B4" s="4"/>
      <c r="C4" s="4"/>
      <c r="D4" s="4"/>
      <c r="E4" s="4"/>
      <c r="F4" s="4"/>
    </row>
    <row r="5" spans="1:6">
      <c r="A5" s="2"/>
      <c r="B5" s="6" t="s">
        <v>31</v>
      </c>
      <c r="C5" s="6" t="s">
        <v>32</v>
      </c>
      <c r="D5" s="6" t="s">
        <v>33</v>
      </c>
      <c r="F5" s="6" t="s">
        <v>34</v>
      </c>
    </row>
    <row r="6" spans="1:6">
      <c r="A6" s="2" t="s">
        <v>35</v>
      </c>
      <c r="B6" s="7">
        <v>400</v>
      </c>
      <c r="C6" s="7">
        <v>150</v>
      </c>
      <c r="D6" s="7">
        <v>30</v>
      </c>
      <c r="F6" s="3" t="s">
        <v>36</v>
      </c>
    </row>
    <row r="7" spans="1:6">
      <c r="A7" s="2" t="s">
        <v>37</v>
      </c>
      <c r="B7" s="7">
        <v>50</v>
      </c>
      <c r="C7" s="7">
        <v>400</v>
      </c>
      <c r="D7" s="7">
        <v>3000</v>
      </c>
      <c r="F7" s="3" t="s">
        <v>38</v>
      </c>
    </row>
    <row r="8" spans="1:6">
      <c r="A8" s="4" t="s">
        <v>39</v>
      </c>
      <c r="B8" s="4"/>
      <c r="C8" s="4"/>
      <c r="D8" s="4"/>
      <c r="E8" s="4"/>
      <c r="F8" s="4"/>
    </row>
    <row r="9" spans="1:6">
      <c r="A9" s="2" t="s">
        <v>40</v>
      </c>
      <c r="B9" s="7">
        <v>1</v>
      </c>
      <c r="C9" s="7">
        <v>1</v>
      </c>
      <c r="D9" s="7">
        <v>2</v>
      </c>
      <c r="F9" s="3" t="s">
        <v>41</v>
      </c>
    </row>
    <row r="10" spans="1:6">
      <c r="A10" s="2" t="s">
        <v>42</v>
      </c>
      <c r="B10" s="7">
        <v>2</v>
      </c>
      <c r="C10" s="7">
        <v>4</v>
      </c>
      <c r="D10" s="7">
        <v>8</v>
      </c>
      <c r="F10" s="3" t="s">
        <v>43</v>
      </c>
    </row>
    <row r="11" spans="1:6">
      <c r="A11" s="2" t="s">
        <v>44</v>
      </c>
      <c r="B11" s="7">
        <v>1</v>
      </c>
      <c r="C11" s="7">
        <v>1</v>
      </c>
      <c r="D11" s="7">
        <v>2</v>
      </c>
      <c r="F11" s="3" t="s">
        <v>45</v>
      </c>
    </row>
    <row r="12" spans="1:6">
      <c r="A12" s="2" t="s">
        <v>46</v>
      </c>
      <c r="B12" s="8">
        <v>0.1</v>
      </c>
      <c r="C12" s="8">
        <v>0.15</v>
      </c>
      <c r="D12" s="8">
        <v>0.2</v>
      </c>
      <c r="F12" s="3" t="s">
        <v>47</v>
      </c>
    </row>
    <row r="13" spans="1:6">
      <c r="A13" s="2" t="s">
        <v>48</v>
      </c>
      <c r="B13" s="8">
        <v>0.1</v>
      </c>
      <c r="C13" s="8">
        <v>0.12</v>
      </c>
      <c r="D13" s="8">
        <v>0.15</v>
      </c>
      <c r="F13" s="3" t="s">
        <v>49</v>
      </c>
    </row>
    <row r="14" spans="1:6">
      <c r="A14" s="2" t="s">
        <v>50</v>
      </c>
      <c r="B14" s="8">
        <v>0.05</v>
      </c>
      <c r="C14" s="8">
        <v>0.1</v>
      </c>
      <c r="D14" s="8">
        <v>0.15</v>
      </c>
      <c r="F14" s="3" t="s">
        <v>51</v>
      </c>
    </row>
    <row r="15" spans="1:6">
      <c r="A15" s="2" t="s">
        <v>52</v>
      </c>
      <c r="B15" s="7">
        <v>3</v>
      </c>
      <c r="C15" s="7">
        <v>5</v>
      </c>
      <c r="D15" s="7">
        <v>8</v>
      </c>
      <c r="F15" s="3" t="s">
        <v>53</v>
      </c>
    </row>
    <row r="16" spans="1:6">
      <c r="A16" s="2" t="s">
        <v>54</v>
      </c>
      <c r="B16" s="9">
        <v>0.1</v>
      </c>
      <c r="C16" s="9">
        <v>0.15</v>
      </c>
      <c r="D16" s="9">
        <v>0.5</v>
      </c>
      <c r="F16" s="3" t="s">
        <v>55</v>
      </c>
    </row>
    <row r="17" spans="1:6">
      <c r="A17" s="4" t="s">
        <v>56</v>
      </c>
      <c r="B17" s="4"/>
      <c r="C17" s="4"/>
      <c r="D17" s="4"/>
      <c r="E17" s="4"/>
      <c r="F17" s="4"/>
    </row>
    <row r="18" spans="1:6">
      <c r="A18" s="2" t="s">
        <v>57</v>
      </c>
      <c r="B18" s="7">
        <v>400</v>
      </c>
      <c r="C18" s="7">
        <v>800</v>
      </c>
      <c r="D18" s="7">
        <v>1500</v>
      </c>
      <c r="F18" s="3" t="s">
        <v>58</v>
      </c>
    </row>
    <row r="19" spans="1:6">
      <c r="A19" s="2" t="s">
        <v>59</v>
      </c>
      <c r="B19" s="7">
        <v>150</v>
      </c>
      <c r="C19" s="7">
        <v>400</v>
      </c>
      <c r="D19" s="7">
        <v>1000</v>
      </c>
      <c r="F19" s="3" t="s">
        <v>60</v>
      </c>
    </row>
    <row r="20" spans="1:6">
      <c r="A20" s="2" t="s">
        <v>61</v>
      </c>
      <c r="B20" s="9">
        <v>0.0001</v>
      </c>
      <c r="C20" s="9">
        <v>0.00015</v>
      </c>
      <c r="D20" s="9">
        <v>0.0002</v>
      </c>
      <c r="F20" s="3" t="s">
        <v>62</v>
      </c>
    </row>
    <row r="21" spans="1:6">
      <c r="A21" s="2" t="s">
        <v>63</v>
      </c>
      <c r="B21" s="9">
        <v>0.0002</v>
      </c>
      <c r="C21" s="9">
        <v>0.0005999999999999999</v>
      </c>
      <c r="D21" s="9">
        <v>0.0008</v>
      </c>
      <c r="F21" s="3"/>
    </row>
    <row r="22" spans="1:6">
      <c r="A22" s="2" t="s">
        <v>64</v>
      </c>
      <c r="B22" s="9">
        <v>0.0005</v>
      </c>
      <c r="C22" s="9">
        <v>0.0015</v>
      </c>
      <c r="D22" s="9">
        <v>0.0025</v>
      </c>
      <c r="F22" s="3" t="s">
        <v>65</v>
      </c>
    </row>
    <row r="23" spans="1:6">
      <c r="A23" s="2" t="s">
        <v>66</v>
      </c>
      <c r="B23" s="9">
        <v>0.0015</v>
      </c>
      <c r="C23" s="9">
        <v>0.005</v>
      </c>
      <c r="D23" s="9">
        <v>0.01</v>
      </c>
      <c r="F23" s="3"/>
    </row>
    <row r="24" spans="1:6">
      <c r="A24" s="2" t="s">
        <v>67</v>
      </c>
      <c r="B24" s="9">
        <v>0.00015</v>
      </c>
      <c r="C24" s="9">
        <v>0.0005</v>
      </c>
      <c r="D24" s="9">
        <v>0.0015</v>
      </c>
      <c r="F24" s="3" t="s">
        <v>68</v>
      </c>
    </row>
    <row r="25" spans="1:6">
      <c r="A25" s="2" t="s">
        <v>69</v>
      </c>
      <c r="B25" s="9">
        <v>0.0005999999999999999</v>
      </c>
      <c r="C25" s="9">
        <v>0.0015</v>
      </c>
      <c r="D25" s="9">
        <v>0.005</v>
      </c>
      <c r="F25" s="3"/>
    </row>
    <row r="26" spans="1:6">
      <c r="A26" s="4" t="s">
        <v>70</v>
      </c>
      <c r="B26" s="4"/>
      <c r="C26" s="4"/>
      <c r="D26" s="4"/>
      <c r="E26" s="4"/>
      <c r="F26" s="4"/>
    </row>
    <row r="27" spans="1:6">
      <c r="A27" s="2" t="s">
        <v>71</v>
      </c>
      <c r="B27" s="7">
        <v>2</v>
      </c>
      <c r="C27" s="7">
        <v>5</v>
      </c>
      <c r="D27" s="7">
        <v>10</v>
      </c>
      <c r="F27" s="3" t="s">
        <v>72</v>
      </c>
    </row>
    <row r="28" spans="1:6">
      <c r="A28" s="2" t="s">
        <v>73</v>
      </c>
      <c r="B28" s="8">
        <v>0.4</v>
      </c>
      <c r="C28" s="8">
        <v>0.6</v>
      </c>
      <c r="D28" s="8">
        <v>0.8</v>
      </c>
      <c r="F28" s="3" t="s">
        <v>74</v>
      </c>
    </row>
    <row r="29" spans="1:6">
      <c r="A29" s="2" t="s">
        <v>75</v>
      </c>
      <c r="B29" s="9">
        <v>0.005</v>
      </c>
      <c r="C29" s="9">
        <v>0.01</v>
      </c>
      <c r="D29" s="9">
        <v>0.02</v>
      </c>
      <c r="F29" s="3" t="s">
        <v>76</v>
      </c>
    </row>
    <row r="30" spans="1:6">
      <c r="A30" s="2" t="s">
        <v>77</v>
      </c>
      <c r="B30" s="9">
        <v>0.0005</v>
      </c>
      <c r="C30" s="9">
        <v>0.001</v>
      </c>
      <c r="D30" s="9">
        <v>0.0025</v>
      </c>
      <c r="F30" s="3" t="s">
        <v>78</v>
      </c>
    </row>
    <row r="31" spans="1:6">
      <c r="A31" s="2" t="s">
        <v>79</v>
      </c>
      <c r="B31" s="9">
        <v>0.0002</v>
      </c>
      <c r="C31" s="9">
        <v>0.0005</v>
      </c>
      <c r="D31" s="9">
        <v>0.0015</v>
      </c>
      <c r="F31" s="3" t="s">
        <v>80</v>
      </c>
    </row>
    <row r="32" spans="1:6">
      <c r="A32" s="4" t="s">
        <v>81</v>
      </c>
      <c r="B32" s="4"/>
      <c r="C32" s="4"/>
      <c r="D32" s="4"/>
      <c r="E32" s="4"/>
      <c r="F32" s="4"/>
    </row>
    <row r="33" spans="1:6">
      <c r="A33" s="2" t="s">
        <v>82</v>
      </c>
      <c r="B33" s="8">
        <v>0.08</v>
      </c>
      <c r="C33" s="8">
        <v>0.1</v>
      </c>
      <c r="D33" s="8">
        <v>0.15</v>
      </c>
      <c r="F33" s="3" t="s">
        <v>83</v>
      </c>
    </row>
    <row r="34" spans="1:6">
      <c r="A34" s="2" t="s">
        <v>84</v>
      </c>
      <c r="B34" s="9">
        <v>0</v>
      </c>
      <c r="C34" s="9">
        <v>0.0005</v>
      </c>
      <c r="D34" s="9">
        <v>0.002</v>
      </c>
      <c r="F34" s="3" t="s">
        <v>85</v>
      </c>
    </row>
    <row r="35" spans="1:6">
      <c r="A35" s="2" t="s">
        <v>86</v>
      </c>
      <c r="B35" s="8">
        <v>0.05</v>
      </c>
      <c r="C35" s="8">
        <v>0.08</v>
      </c>
      <c r="D35" s="8">
        <v>0.12</v>
      </c>
      <c r="F35" s="3" t="s">
        <v>87</v>
      </c>
    </row>
    <row r="36" spans="1:6">
      <c r="A36" s="2" t="s">
        <v>88</v>
      </c>
      <c r="B36" s="9">
        <v>0.0001</v>
      </c>
      <c r="C36" s="9">
        <v>0.0005</v>
      </c>
      <c r="D36" s="9">
        <v>0.002</v>
      </c>
      <c r="F36" s="3" t="s">
        <v>89</v>
      </c>
    </row>
    <row r="37" spans="1:6">
      <c r="A37" s="4" t="s">
        <v>90</v>
      </c>
      <c r="B37" s="4"/>
      <c r="C37" s="4"/>
      <c r="D37" s="4"/>
      <c r="E37" s="4"/>
      <c r="F37" s="4"/>
    </row>
    <row r="38" spans="1:6">
      <c r="A38" s="2" t="s">
        <v>91</v>
      </c>
      <c r="B38" s="9">
        <v>0</v>
      </c>
      <c r="C38" s="9">
        <v>0.5</v>
      </c>
      <c r="D38" s="9">
        <v>2</v>
      </c>
      <c r="F38" s="3" t="s">
        <v>92</v>
      </c>
    </row>
    <row r="39" spans="1:6">
      <c r="A39" s="2" t="s">
        <v>93</v>
      </c>
      <c r="B39" s="8">
        <v>0</v>
      </c>
      <c r="C39" s="8">
        <v>0.25</v>
      </c>
      <c r="D39" s="8">
        <v>0.15</v>
      </c>
      <c r="F39" s="3" t="s">
        <v>94</v>
      </c>
    </row>
    <row r="40" spans="1:6">
      <c r="A40" s="2" t="s">
        <v>95</v>
      </c>
      <c r="B40" s="8">
        <v>0.5</v>
      </c>
      <c r="C40" s="8">
        <v>0.65</v>
      </c>
      <c r="D40" s="8">
        <v>0.75</v>
      </c>
      <c r="F40" s="3" t="s">
        <v>96</v>
      </c>
    </row>
    <row r="41" spans="1:6">
      <c r="A41" s="2" t="s">
        <v>97</v>
      </c>
      <c r="B41" s="10">
        <v>1.3</v>
      </c>
      <c r="C41" s="10">
        <v>1.5</v>
      </c>
      <c r="D41" s="10">
        <v>1.5</v>
      </c>
      <c r="F41" s="3" t="s">
        <v>98</v>
      </c>
    </row>
    <row r="42" spans="1:6">
      <c r="A42" s="4" t="s">
        <v>99</v>
      </c>
      <c r="B42" s="4"/>
      <c r="C42" s="4"/>
      <c r="D42" s="4"/>
      <c r="E42" s="4"/>
      <c r="F42" s="4"/>
    </row>
    <row r="43" spans="1:6">
      <c r="A43" s="2" t="s">
        <v>100</v>
      </c>
      <c r="B43" s="10">
        <v>3800</v>
      </c>
    </row>
    <row r="44" spans="1:6">
      <c r="A44" s="2" t="s">
        <v>101</v>
      </c>
      <c r="B44" s="10">
        <v>130</v>
      </c>
    </row>
    <row r="45" spans="1:6">
      <c r="A45" s="2" t="s">
        <v>102</v>
      </c>
      <c r="B45" s="10">
        <v>1600</v>
      </c>
    </row>
    <row r="46" spans="1:6">
      <c r="A46" s="2" t="s">
        <v>103</v>
      </c>
      <c r="B46" s="10">
        <v>18</v>
      </c>
    </row>
    <row r="47" spans="1:6">
      <c r="A47" s="2" t="s">
        <v>104</v>
      </c>
      <c r="B47" s="10">
        <v>49</v>
      </c>
    </row>
    <row r="48" spans="1:6">
      <c r="A48" s="2" t="s">
        <v>105</v>
      </c>
      <c r="B48" s="11" t="s">
        <v>106</v>
      </c>
    </row>
  </sheetData>
  <mergeCells count="8">
    <mergeCell ref="A1:F1"/>
    <mergeCell ref="A4:F4"/>
    <mergeCell ref="A8:F8"/>
    <mergeCell ref="A17:F17"/>
    <mergeCell ref="A26:F26"/>
    <mergeCell ref="A32:F32"/>
    <mergeCell ref="A37:F37"/>
    <mergeCell ref="A42:F4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5"/>
  <sheetViews>
    <sheetView workbookViewId="0"/>
  </sheetViews>
  <sheetFormatPr defaultRowHeight="15"/>
  <cols>
    <col min="1" max="1" width="46.7109375" customWidth="1"/>
    <col min="2" max="4" width="16.7109375" customWidth="1"/>
    <col min="5" max="8" width="14.7109375" customWidth="1"/>
    <col min="9" max="9" width="56.7109375" customWidth="1"/>
  </cols>
  <sheetData>
    <row r="1" spans="1:9" ht="28" customHeight="1">
      <c r="A1" s="1" t="s">
        <v>107</v>
      </c>
      <c r="B1" s="1"/>
      <c r="C1" s="1"/>
      <c r="D1" s="1"/>
      <c r="E1" s="1"/>
      <c r="F1" s="1"/>
      <c r="G1" s="1"/>
      <c r="H1" s="1"/>
      <c r="I1" s="1"/>
    </row>
    <row r="2" spans="1:9">
      <c r="A2" s="5" t="s">
        <v>108</v>
      </c>
    </row>
    <row r="3" spans="1:9">
      <c r="A3" s="6" t="s">
        <v>109</v>
      </c>
      <c r="B3" s="6" t="s">
        <v>31</v>
      </c>
      <c r="C3" s="6" t="s">
        <v>32</v>
      </c>
      <c r="D3" s="6" t="s">
        <v>33</v>
      </c>
      <c r="E3" s="6" t="s">
        <v>110</v>
      </c>
      <c r="F3" s="6" t="s">
        <v>111</v>
      </c>
      <c r="G3" s="6" t="s">
        <v>112</v>
      </c>
      <c r="H3" s="6" t="s">
        <v>113</v>
      </c>
      <c r="I3" s="6" t="s">
        <v>114</v>
      </c>
    </row>
    <row r="4" spans="1:9">
      <c r="A4" s="2" t="s">
        <v>115</v>
      </c>
      <c r="B4" s="12">
        <f>(Inputs!B9+Inputs!B10*Inputs!B11)*(1+Inputs!B12)</f>
        <v>0</v>
      </c>
      <c r="C4" s="12">
        <f>(Inputs!C9+Inputs!C10*Inputs!C11)*(1+Inputs!C12)</f>
        <v>0</v>
      </c>
      <c r="D4" s="12">
        <f>(Inputs!D9+Inputs!D10*Inputs!D11)*(1+Inputs!D12)</f>
        <v>0</v>
      </c>
    </row>
    <row r="5" spans="1:9">
      <c r="A5" s="2" t="s">
        <v>116</v>
      </c>
      <c r="B5" s="13">
        <f>(Inputs!B9*(1+Inputs!B12)*(Inputs!B18*Inputs!B22+Inputs!B19*Inputs!B23)/1000+Inputs!B10*Inputs!B11*(1+Inputs!B12)*(Inputs!B18*Inputs!B24+Inputs!B19*Inputs!B25)/1000)</f>
        <v>0</v>
      </c>
      <c r="C5" s="13">
        <f>(Inputs!C9*(1+Inputs!C12)*(Inputs!C18*Inputs!C22+Inputs!C19*Inputs!C23)/1000+Inputs!C10*Inputs!C11*(1+Inputs!C12)*(Inputs!C18*Inputs!C24+Inputs!C19*Inputs!C25)/1000)</f>
        <v>0</v>
      </c>
      <c r="D5" s="13">
        <f>(Inputs!D9*(1+Inputs!D12)*(Inputs!D18*Inputs!D22+Inputs!D19*Inputs!D23)/1000+Inputs!D10*Inputs!D11*(1+Inputs!D12)*(Inputs!D18*Inputs!D24+Inputs!D19*Inputs!D25)/1000)</f>
        <v>0</v>
      </c>
    </row>
    <row r="6" spans="1:9">
      <c r="A6" s="2" t="s">
        <v>117</v>
      </c>
      <c r="B6" s="13">
        <f>Inputs!B27*Inputs!B28*Inputs!B29</f>
        <v>0</v>
      </c>
      <c r="C6" s="13">
        <f>Inputs!C27*Inputs!C28*Inputs!C29</f>
        <v>0</v>
      </c>
      <c r="D6" s="13">
        <f>Inputs!D27*Inputs!D28*Inputs!D29</f>
        <v>0</v>
      </c>
    </row>
    <row r="7" spans="1:9">
      <c r="A7" s="2" t="s">
        <v>118</v>
      </c>
      <c r="B7" s="13">
        <f>Inputs!B14*Inputs!B15*Inputs!B16</f>
        <v>0</v>
      </c>
      <c r="C7" s="13">
        <f>Inputs!C14*Inputs!C15*Inputs!C16</f>
        <v>0</v>
      </c>
      <c r="D7" s="13">
        <f>Inputs!D14*Inputs!D15*Inputs!D16</f>
        <v>0</v>
      </c>
    </row>
    <row r="8" spans="1:9">
      <c r="A8" s="2" t="s">
        <v>119</v>
      </c>
      <c r="B8" s="13">
        <f>Inputs!B30</f>
        <v>0</v>
      </c>
      <c r="C8" s="13">
        <f>Inputs!C30</f>
        <v>0</v>
      </c>
      <c r="D8" s="13">
        <f>Inputs!D30</f>
        <v>0</v>
      </c>
    </row>
    <row r="9" spans="1:9">
      <c r="A9" s="2" t="s">
        <v>120</v>
      </c>
      <c r="B9" s="13">
        <f>Inputs!B31</f>
        <v>0</v>
      </c>
      <c r="C9" s="13">
        <f>Inputs!C31</f>
        <v>0</v>
      </c>
      <c r="D9" s="13">
        <f>Inputs!D31</f>
        <v>0</v>
      </c>
    </row>
    <row r="10" spans="1:9">
      <c r="A10" s="2" t="s">
        <v>121</v>
      </c>
      <c r="B10" s="13">
        <f>B5*Inputs!B35</f>
        <v>0</v>
      </c>
      <c r="C10" s="13">
        <f>C5*Inputs!C35</f>
        <v>0</v>
      </c>
      <c r="D10" s="13">
        <f>D5*Inputs!D35</f>
        <v>0</v>
      </c>
    </row>
    <row r="11" spans="1:9">
      <c r="A11" s="2" t="s">
        <v>122</v>
      </c>
      <c r="B11" s="13">
        <f>(B5+B6)*Inputs!B33</f>
        <v>0</v>
      </c>
      <c r="C11" s="13">
        <f>(C5+C6)*Inputs!C33</f>
        <v>0</v>
      </c>
      <c r="D11" s="13">
        <f>(D5+D6)*Inputs!D33</f>
        <v>0</v>
      </c>
    </row>
    <row r="12" spans="1:9">
      <c r="A12" s="2" t="s">
        <v>123</v>
      </c>
      <c r="B12" s="13">
        <f>Inputs!B34</f>
        <v>0</v>
      </c>
      <c r="C12" s="13">
        <f>Inputs!C34</f>
        <v>0</v>
      </c>
      <c r="D12" s="13">
        <f>Inputs!D34</f>
        <v>0</v>
      </c>
    </row>
    <row r="13" spans="1:9">
      <c r="A13" s="2" t="s">
        <v>124</v>
      </c>
      <c r="B13" s="13">
        <f>Inputs!B36</f>
        <v>0</v>
      </c>
      <c r="C13" s="13">
        <f>Inputs!C36</f>
        <v>0</v>
      </c>
      <c r="D13" s="13">
        <f>Inputs!D36</f>
        <v>0</v>
      </c>
    </row>
    <row r="14" spans="1:9">
      <c r="A14" s="2" t="s">
        <v>125</v>
      </c>
      <c r="B14" s="14">
        <f>SUM(B5:B13)</f>
        <v>0</v>
      </c>
      <c r="C14" s="14">
        <f>SUM(C5:C13)</f>
        <v>0</v>
      </c>
      <c r="D14" s="14">
        <f>SUM(D5:D13)</f>
        <v>0</v>
      </c>
    </row>
    <row r="15" spans="1:9">
      <c r="A15" s="2" t="s">
        <v>126</v>
      </c>
      <c r="B15" s="14">
        <f>B14/(1-Inputs!B13)</f>
        <v>0</v>
      </c>
      <c r="C15" s="14">
        <f>C14/(1-Inputs!C13)</f>
        <v>0</v>
      </c>
      <c r="D15" s="14">
        <f>D14/(1-Inputs!D13)</f>
        <v>0</v>
      </c>
      <c r="I15" s="15" t="s">
        <v>127</v>
      </c>
    </row>
    <row r="16" spans="1:9">
      <c r="A16" s="2" t="s">
        <v>128</v>
      </c>
      <c r="B16" s="16">
        <f>B14*Inputs!B7*Inputs!B6</f>
        <v>0</v>
      </c>
      <c r="C16" s="16">
        <f>C14*Inputs!C7*Inputs!C6</f>
        <v>0</v>
      </c>
      <c r="D16" s="16">
        <f>D14*Inputs!D7*Inputs!D6</f>
        <v>0</v>
      </c>
    </row>
    <row r="17" spans="1:9">
      <c r="A17" s="2" t="s">
        <v>129</v>
      </c>
      <c r="B17" s="16">
        <f>B16*12</f>
        <v>0</v>
      </c>
      <c r="C17" s="16">
        <f>C16*12</f>
        <v>0</v>
      </c>
      <c r="D17" s="16">
        <f>D16*12</f>
        <v>0</v>
      </c>
    </row>
    <row r="18" spans="1:9">
      <c r="A18" s="2" t="s">
        <v>130</v>
      </c>
      <c r="B18" s="14">
        <f>SUM(B17:D17)</f>
        <v>0</v>
      </c>
    </row>
    <row r="21" spans="1:9">
      <c r="A21" s="4" t="s">
        <v>131</v>
      </c>
      <c r="B21" s="4"/>
      <c r="C21" s="4"/>
      <c r="D21" s="4"/>
      <c r="E21" s="4"/>
      <c r="F21" s="4"/>
      <c r="G21" s="4"/>
      <c r="H21" s="4"/>
      <c r="I21" s="4"/>
    </row>
    <row r="22" spans="1:9">
      <c r="A22" s="2" t="s">
        <v>132</v>
      </c>
      <c r="B22" s="13">
        <f>( Inputs!B9*2*(1+Inputs!B12)*(Inputs!B18*Inputs!B22+Inputs!B19*Inputs!B23)/1000+ Inputs!B10*2*Inputs!B11*(1+Inputs!B12)*(Inputs!B18*Inputs!B24+Inputs!B19*Inputs!B25)/1000+ Inputs!B27*Inputs!B28*Inputs!B29+ Inputs!B14*Inputs!B15*Inputs!B16+ Inputs!B30 + Inputs!B31 + Inputs!B34 + Inputs!B36 )*(1+Inputs!B35+Inputs!B33)/(1-Inputs!B13)</f>
        <v>0</v>
      </c>
    </row>
    <row r="23" spans="1:9">
      <c r="A23" s="2" t="s">
        <v>133</v>
      </c>
      <c r="B23" s="13">
        <f>( Inputs!C9*(1+Inputs!C12)*(Inputs!C18*Inputs!C22+Inputs!C19*Inputs!C23)/1000+ Inputs!C10*Inputs!C11*(1+Inputs!C12)*(Inputs!C18*Inputs!C24+Inputs!C19*Inputs!C25)/1000+ Inputs!C27*2*Inputs!C28*Inputs!C29+ Inputs!C14*Inputs!C15*Inputs!C16+ Inputs!C30 + Inputs!C31 + Inputs!C34 + Inputs!C36 )*(1+Inputs!C35+Inputs!C33)/(1-Inputs!C13)</f>
        <v>0</v>
      </c>
    </row>
    <row r="24" spans="1:9">
      <c r="A24" s="2" t="s">
        <v>134</v>
      </c>
      <c r="B24" s="13">
        <f>( Inputs!D9*(1+Inputs!D12)*(Inputs!D18*Inputs!D22+Inputs!D19*Inputs!D23)/1000+ Inputs!D10*Inputs!D11*(1+Inputs!D12)*(Inputs!D18*Inputs!D24+Inputs!D19*Inputs!D25)/1000+ Inputs!D27*Inputs!D28*Inputs!D29+ Inputs!D14*2*Inputs!D15*Inputs!D16+ Inputs!D30 + Inputs!D31 + Inputs!D34 + Inputs!D36 )*(1+Inputs!D35+Inputs!D33)/(1-Inputs!D13)</f>
        <v>0</v>
      </c>
    </row>
    <row r="25" spans="1:9">
      <c r="A25" s="2" t="s">
        <v>135</v>
      </c>
      <c r="B25" s="13">
        <f>D14/(1-Inputs!D13*2)</f>
        <v>0</v>
      </c>
    </row>
  </sheetData>
  <mergeCells count="2">
    <mergeCell ref="A1:I1"/>
    <mergeCell ref="A21:I21"/>
  </mergeCells>
  <conditionalFormatting sqref="B15:D15">
    <cfRule type="colorScale" priority="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cols>
    <col min="1" max="1" width="44.7109375" customWidth="1"/>
    <col min="2" max="4" width="16.7109375" customWidth="1"/>
  </cols>
  <sheetData>
    <row r="1" spans="1:4" ht="28" customHeight="1">
      <c r="A1" s="1" t="s">
        <v>136</v>
      </c>
      <c r="B1" s="1"/>
      <c r="C1" s="1"/>
      <c r="D1" s="1"/>
    </row>
    <row r="3" spans="1:4">
      <c r="A3" s="6" t="s">
        <v>137</v>
      </c>
      <c r="B3" s="6" t="s">
        <v>31</v>
      </c>
      <c r="C3" s="6" t="s">
        <v>32</v>
      </c>
      <c r="D3" s="6" t="s">
        <v>33</v>
      </c>
    </row>
    <row r="4" spans="1:4">
      <c r="A4" s="2" t="s">
        <v>91</v>
      </c>
      <c r="B4" s="13">
        <f>Inputs!B38</f>
        <v>0</v>
      </c>
      <c r="C4" s="13">
        <f>Inputs!C38</f>
        <v>0</v>
      </c>
      <c r="D4" s="13">
        <f>Inputs!D38</f>
        <v>0</v>
      </c>
    </row>
    <row r="5" spans="1:4">
      <c r="A5" s="2" t="s">
        <v>138</v>
      </c>
      <c r="B5" s="17">
        <f>1-Inputs!B13</f>
        <v>0</v>
      </c>
      <c r="C5" s="17">
        <f>1-Inputs!C13</f>
        <v>0</v>
      </c>
      <c r="D5" s="17">
        <f>1-Inputs!D13</f>
        <v>0</v>
      </c>
    </row>
    <row r="6" spans="1:4">
      <c r="A6" s="2" t="s">
        <v>139</v>
      </c>
      <c r="B6" s="13">
        <f>Inputs!B38*(1-Inputs!B13)</f>
        <v>0</v>
      </c>
      <c r="C6" s="13">
        <f>Inputs!C38*(1-Inputs!C13)</f>
        <v>0</v>
      </c>
      <c r="D6" s="13">
        <f>Inputs!D38*(1-Inputs!D13)</f>
        <v>0</v>
      </c>
    </row>
    <row r="7" spans="1:4">
      <c r="A7" s="2" t="s">
        <v>140</v>
      </c>
      <c r="B7" s="13">
        <f>'Cost-Per-Task'!B14</f>
        <v>0</v>
      </c>
      <c r="C7" s="13">
        <f>'Cost-Per-Task'!C14</f>
        <v>0</v>
      </c>
      <c r="D7" s="13">
        <f>'Cost-Per-Task'!D14</f>
        <v>0</v>
      </c>
    </row>
    <row r="8" spans="1:4">
      <c r="A8" s="2" t="s">
        <v>141</v>
      </c>
      <c r="B8" s="13">
        <f>'Cost-Per-Task'!B15</f>
        <v>0</v>
      </c>
      <c r="C8" s="13">
        <f>'Cost-Per-Task'!C15</f>
        <v>0</v>
      </c>
      <c r="D8" s="13">
        <f>'Cost-Per-Task'!D15</f>
        <v>0</v>
      </c>
    </row>
    <row r="9" spans="1:4">
      <c r="A9" s="2" t="s">
        <v>142</v>
      </c>
      <c r="B9" s="13">
        <f>Inputs!B38-'Cost-Per-Task'!B15</f>
        <v>0</v>
      </c>
      <c r="C9" s="13">
        <f>Inputs!C38-'Cost-Per-Task'!C15</f>
        <v>0</v>
      </c>
      <c r="D9" s="13">
        <f>Inputs!D38-'Cost-Per-Task'!D15</f>
        <v>0</v>
      </c>
    </row>
    <row r="10" spans="1:4">
      <c r="A10" s="2" t="s">
        <v>143</v>
      </c>
      <c r="B10" s="18">
        <f>IF(Inputs!B38&gt;0,(Inputs!B38-'Cost-Per-Task'!B15)/Inputs!B38,-1)</f>
        <v>0</v>
      </c>
      <c r="C10" s="18">
        <f>IF(Inputs!C38&gt;0,(Inputs!C38-'Cost-Per-Task'!C15)/Inputs!C38,-1)</f>
        <v>0</v>
      </c>
      <c r="D10" s="18">
        <f>IF(Inputs!D38&gt;0,(Inputs!D38-'Cost-Per-Task'!D15)/Inputs!D38,-1)</f>
        <v>0</v>
      </c>
    </row>
    <row r="11" spans="1:4">
      <c r="A11" s="2" t="s">
        <v>144</v>
      </c>
      <c r="B11" s="13">
        <f>Inputs!B38*Inputs!B39</f>
        <v>0</v>
      </c>
      <c r="C11" s="13">
        <f>Inputs!C38*Inputs!C39</f>
        <v>0</v>
      </c>
      <c r="D11" s="13">
        <f>Inputs!D38*Inputs!D39</f>
        <v>0</v>
      </c>
    </row>
    <row r="12" spans="1:4">
      <c r="A12" s="2" t="s">
        <v>145</v>
      </c>
      <c r="B12" s="14">
        <f>Inputs!B38-'Cost-Per-Task'!B15-Inputs!B38*Inputs!B39</f>
        <v>0</v>
      </c>
      <c r="C12" s="14">
        <f>Inputs!C38-'Cost-Per-Task'!C15-Inputs!C38*Inputs!C39</f>
        <v>0</v>
      </c>
      <c r="D12" s="14">
        <f>Inputs!D38-'Cost-Per-Task'!D15-Inputs!D38*Inputs!D39</f>
        <v>0</v>
      </c>
    </row>
    <row r="13" spans="1:4">
      <c r="A13" s="2" t="s">
        <v>146</v>
      </c>
      <c r="B13" s="18">
        <f>IF(Inputs!B38&gt;0,(Inputs!B38-'Cost-Per-Task'!B15-Inputs!B38*Inputs!B39)/Inputs!B38,-1)</f>
        <v>0</v>
      </c>
      <c r="C13" s="18">
        <f>IF(Inputs!C38&gt;0,(Inputs!C38-'Cost-Per-Task'!C15-Inputs!C38*Inputs!C39)/Inputs!C38,-1)</f>
        <v>0</v>
      </c>
      <c r="D13" s="18">
        <f>IF(Inputs!D38&gt;0,(Inputs!D38-'Cost-Per-Task'!D15-Inputs!D38*Inputs!D39)/Inputs!D38,-1)</f>
        <v>0</v>
      </c>
    </row>
    <row r="14" spans="1:4">
      <c r="A14" s="2" t="s">
        <v>147</v>
      </c>
      <c r="B14" s="13">
        <f>Inputs!B38*Inputs!B41</f>
        <v>0</v>
      </c>
      <c r="C14" s="13">
        <f>Inputs!C38*Inputs!C41</f>
        <v>0</v>
      </c>
      <c r="D14" s="13">
        <f>Inputs!D38*Inputs!D41</f>
        <v>0</v>
      </c>
    </row>
    <row r="15" spans="1:4">
      <c r="A15" s="2" t="s">
        <v>148</v>
      </c>
      <c r="B15" s="12">
        <f>IF('Cost-Per-Task'!B15&gt;Inputs!B38*Inputs!B41,"YES","no")</f>
        <v>0</v>
      </c>
      <c r="C15" s="12">
        <f>IF('Cost-Per-Task'!C15&gt;Inputs!C38*Inputs!C41,"YES","no")</f>
        <v>0</v>
      </c>
      <c r="D15" s="12">
        <f>IF('Cost-Per-Task'!D15&gt;Inputs!D38*Inputs!D41,"YES","no")</f>
        <v>0</v>
      </c>
    </row>
  </sheetData>
  <mergeCells count="1">
    <mergeCell ref="A1:D1"/>
  </mergeCells>
  <conditionalFormatting sqref="B10:D10">
    <cfRule type="cellIs" dxfId="0" priority="1" operator="greaterThanOrEqual">
      <formula>0.7</formula>
    </cfRule>
    <cfRule type="cellIs" dxfId="1" priority="2" operator="between">
      <formula>0.5</formula>
      <formula>0.7</formula>
    </cfRule>
    <cfRule type="cellIs" dxfId="2" priority="3" operator="lessThan">
      <formula>0.5</formula>
    </cfRule>
  </conditionalFormatting>
  <conditionalFormatting sqref="B15:D15">
    <cfRule type="containsText" dxfId="2" priority="4" operator="containsText" text="YES">
      <formula>NOT(ISERROR(SEARCH("YES",B15)))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48"/>
  <sheetViews>
    <sheetView workbookViewId="0"/>
  </sheetViews>
  <sheetFormatPr defaultRowHeight="15"/>
  <cols>
    <col min="1" max="1" width="30.7109375" customWidth="1"/>
    <col min="2" max="9" width="12.7109375" customWidth="1"/>
  </cols>
  <sheetData>
    <row r="1" spans="1:9" ht="28" customHeight="1">
      <c r="A1" s="1" t="s">
        <v>149</v>
      </c>
      <c r="B1" s="1"/>
      <c r="C1" s="1"/>
      <c r="D1" s="1"/>
      <c r="E1" s="1"/>
      <c r="F1" s="1"/>
      <c r="G1" s="1"/>
      <c r="H1" s="1"/>
      <c r="I1" s="1"/>
    </row>
    <row r="3" spans="1:9">
      <c r="A3" s="4" t="s">
        <v>150</v>
      </c>
      <c r="B3" s="4"/>
      <c r="C3" s="4"/>
      <c r="D3" s="4"/>
      <c r="E3" s="4"/>
      <c r="F3" s="4"/>
      <c r="G3" s="4"/>
      <c r="H3" s="4"/>
      <c r="I3" s="4"/>
    </row>
    <row r="5" spans="1:9">
      <c r="A5" s="6" t="s">
        <v>151</v>
      </c>
      <c r="B5" s="6">
        <v>0.0005</v>
      </c>
      <c r="C5" s="6">
        <v>0.001</v>
      </c>
      <c r="D5" s="6">
        <v>0.0025</v>
      </c>
      <c r="E5" s="6">
        <v>0.005</v>
      </c>
      <c r="F5" s="6">
        <v>0.01</v>
      </c>
      <c r="G5" s="6">
        <v>0.02</v>
      </c>
      <c r="H5" s="6">
        <v>0.05</v>
      </c>
    </row>
    <row r="6" spans="1:9">
      <c r="A6" s="2">
        <v>200</v>
      </c>
      <c r="B6" s="13">
        <f>(200*0.0005)/1000</f>
        <v>0</v>
      </c>
      <c r="C6" s="13">
        <f>(200*0.001)/1000</f>
        <v>0</v>
      </c>
      <c r="D6" s="13">
        <f>(200*0.0025)/1000</f>
        <v>0</v>
      </c>
      <c r="E6" s="13">
        <f>(200*0.005)/1000</f>
        <v>0</v>
      </c>
      <c r="F6" s="13">
        <f>(200*0.01)/1000</f>
        <v>0</v>
      </c>
      <c r="G6" s="13">
        <f>(200*0.02)/1000</f>
        <v>0</v>
      </c>
      <c r="H6" s="13">
        <f>(200*0.05)/1000</f>
        <v>0</v>
      </c>
    </row>
    <row r="7" spans="1:9">
      <c r="A7" s="2">
        <v>500</v>
      </c>
      <c r="B7" s="13">
        <f>(500*0.0005)/1000</f>
        <v>0</v>
      </c>
      <c r="C7" s="13">
        <f>(500*0.001)/1000</f>
        <v>0</v>
      </c>
      <c r="D7" s="13">
        <f>(500*0.0025)/1000</f>
        <v>0</v>
      </c>
      <c r="E7" s="13">
        <f>(500*0.005)/1000</f>
        <v>0</v>
      </c>
      <c r="F7" s="13">
        <f>(500*0.01)/1000</f>
        <v>0</v>
      </c>
      <c r="G7" s="13">
        <f>(500*0.02)/1000</f>
        <v>0</v>
      </c>
      <c r="H7" s="13">
        <f>(500*0.05)/1000</f>
        <v>0</v>
      </c>
    </row>
    <row r="8" spans="1:9">
      <c r="A8" s="2">
        <v>1000</v>
      </c>
      <c r="B8" s="13">
        <f>(1000*0.0005)/1000</f>
        <v>0</v>
      </c>
      <c r="C8" s="13">
        <f>(1000*0.001)/1000</f>
        <v>0</v>
      </c>
      <c r="D8" s="13">
        <f>(1000*0.0025)/1000</f>
        <v>0</v>
      </c>
      <c r="E8" s="13">
        <f>(1000*0.005)/1000</f>
        <v>0</v>
      </c>
      <c r="F8" s="13">
        <f>(1000*0.01)/1000</f>
        <v>0</v>
      </c>
      <c r="G8" s="13">
        <f>(1000*0.02)/1000</f>
        <v>0</v>
      </c>
      <c r="H8" s="13">
        <f>(1000*0.05)/1000</f>
        <v>0</v>
      </c>
    </row>
    <row r="9" spans="1:9">
      <c r="A9" s="2">
        <v>2000</v>
      </c>
      <c r="B9" s="13">
        <f>(2000*0.0005)/1000</f>
        <v>0</v>
      </c>
      <c r="C9" s="13">
        <f>(2000*0.001)/1000</f>
        <v>0</v>
      </c>
      <c r="D9" s="13">
        <f>(2000*0.0025)/1000</f>
        <v>0</v>
      </c>
      <c r="E9" s="13">
        <f>(2000*0.005)/1000</f>
        <v>0</v>
      </c>
      <c r="F9" s="13">
        <f>(2000*0.01)/1000</f>
        <v>0</v>
      </c>
      <c r="G9" s="13">
        <f>(2000*0.02)/1000</f>
        <v>0</v>
      </c>
      <c r="H9" s="13">
        <f>(2000*0.05)/1000</f>
        <v>0</v>
      </c>
    </row>
    <row r="10" spans="1:9">
      <c r="A10" s="2">
        <v>3000</v>
      </c>
      <c r="B10" s="13">
        <f>(3000*0.0005)/1000</f>
        <v>0</v>
      </c>
      <c r="C10" s="13">
        <f>(3000*0.001)/1000</f>
        <v>0</v>
      </c>
      <c r="D10" s="13">
        <f>(3000*0.0025)/1000</f>
        <v>0</v>
      </c>
      <c r="E10" s="13">
        <f>(3000*0.005)/1000</f>
        <v>0</v>
      </c>
      <c r="F10" s="13">
        <f>(3000*0.01)/1000</f>
        <v>0</v>
      </c>
      <c r="G10" s="13">
        <f>(3000*0.02)/1000</f>
        <v>0</v>
      </c>
      <c r="H10" s="13">
        <f>(3000*0.05)/1000</f>
        <v>0</v>
      </c>
    </row>
    <row r="11" spans="1:9">
      <c r="A11" s="2">
        <v>5000</v>
      </c>
      <c r="B11" s="13">
        <f>(5000*0.0005)/1000</f>
        <v>0</v>
      </c>
      <c r="C11" s="13">
        <f>(5000*0.001)/1000</f>
        <v>0</v>
      </c>
      <c r="D11" s="13">
        <f>(5000*0.0025)/1000</f>
        <v>0</v>
      </c>
      <c r="E11" s="13">
        <f>(5000*0.005)/1000</f>
        <v>0</v>
      </c>
      <c r="F11" s="13">
        <f>(5000*0.01)/1000</f>
        <v>0</v>
      </c>
      <c r="G11" s="13">
        <f>(5000*0.02)/1000</f>
        <v>0</v>
      </c>
      <c r="H11" s="13">
        <f>(5000*0.05)/1000</f>
        <v>0</v>
      </c>
    </row>
    <row r="12" spans="1:9">
      <c r="A12" s="2">
        <v>8000</v>
      </c>
      <c r="B12" s="13">
        <f>(8000*0.0005)/1000</f>
        <v>0</v>
      </c>
      <c r="C12" s="13">
        <f>(8000*0.001)/1000</f>
        <v>0</v>
      </c>
      <c r="D12" s="13">
        <f>(8000*0.0025)/1000</f>
        <v>0</v>
      </c>
      <c r="E12" s="13">
        <f>(8000*0.005)/1000</f>
        <v>0</v>
      </c>
      <c r="F12" s="13">
        <f>(8000*0.01)/1000</f>
        <v>0</v>
      </c>
      <c r="G12" s="13">
        <f>(8000*0.02)/1000</f>
        <v>0</v>
      </c>
      <c r="H12" s="13">
        <f>(8000*0.05)/1000</f>
        <v>0</v>
      </c>
    </row>
    <row r="15" spans="1:9">
      <c r="A15" s="4" t="s">
        <v>152</v>
      </c>
      <c r="B15" s="4"/>
      <c r="C15" s="4"/>
      <c r="D15" s="4"/>
      <c r="E15" s="4"/>
      <c r="F15" s="4"/>
      <c r="G15" s="4"/>
      <c r="H15" s="4"/>
      <c r="I15" s="4"/>
    </row>
    <row r="17" spans="1:9">
      <c r="A17" s="6" t="s">
        <v>153</v>
      </c>
      <c r="B17" s="6">
        <v>0.05</v>
      </c>
      <c r="C17" s="6">
        <v>0.1</v>
      </c>
      <c r="D17" s="6">
        <v>0.2</v>
      </c>
      <c r="E17" s="6">
        <v>0.5</v>
      </c>
      <c r="F17" s="6">
        <v>1</v>
      </c>
      <c r="G17" s="6">
        <v>1.5</v>
      </c>
      <c r="H17" s="6">
        <v>2</v>
      </c>
    </row>
    <row r="18" spans="1:9">
      <c r="A18" s="2">
        <v>0.02</v>
      </c>
      <c r="B18" s="13">
        <f>0.02*Inputs!D15*0.05</f>
        <v>0</v>
      </c>
      <c r="C18" s="13">
        <f>0.02*Inputs!D15*0.1</f>
        <v>0</v>
      </c>
      <c r="D18" s="13">
        <f>0.02*Inputs!D15*0.2</f>
        <v>0</v>
      </c>
      <c r="E18" s="13">
        <f>0.02*Inputs!D15*0.5</f>
        <v>0</v>
      </c>
      <c r="F18" s="13">
        <f>0.02*Inputs!D15*1.0</f>
        <v>0</v>
      </c>
      <c r="G18" s="13">
        <f>0.02*Inputs!D15*1.5</f>
        <v>0</v>
      </c>
      <c r="H18" s="13">
        <f>0.02*Inputs!D15*2.0</f>
        <v>0</v>
      </c>
    </row>
    <row r="19" spans="1:9">
      <c r="A19" s="2">
        <v>0.05</v>
      </c>
      <c r="B19" s="13">
        <f>0.05*Inputs!D15*0.05</f>
        <v>0</v>
      </c>
      <c r="C19" s="13">
        <f>0.05*Inputs!D15*0.1</f>
        <v>0</v>
      </c>
      <c r="D19" s="13">
        <f>0.05*Inputs!D15*0.2</f>
        <v>0</v>
      </c>
      <c r="E19" s="13">
        <f>0.05*Inputs!D15*0.5</f>
        <v>0</v>
      </c>
      <c r="F19" s="13">
        <f>0.05*Inputs!D15*1.0</f>
        <v>0</v>
      </c>
      <c r="G19" s="13">
        <f>0.05*Inputs!D15*1.5</f>
        <v>0</v>
      </c>
      <c r="H19" s="13">
        <f>0.05*Inputs!D15*2.0</f>
        <v>0</v>
      </c>
    </row>
    <row r="20" spans="1:9">
      <c r="A20" s="2">
        <v>0.1</v>
      </c>
      <c r="B20" s="13">
        <f>0.1*Inputs!D15*0.05</f>
        <v>0</v>
      </c>
      <c r="C20" s="13">
        <f>0.1*Inputs!D15*0.1</f>
        <v>0</v>
      </c>
      <c r="D20" s="13">
        <f>0.1*Inputs!D15*0.2</f>
        <v>0</v>
      </c>
      <c r="E20" s="13">
        <f>0.1*Inputs!D15*0.5</f>
        <v>0</v>
      </c>
      <c r="F20" s="13">
        <f>0.1*Inputs!D15*1.0</f>
        <v>0</v>
      </c>
      <c r="G20" s="13">
        <f>0.1*Inputs!D15*1.5</f>
        <v>0</v>
      </c>
      <c r="H20" s="13">
        <f>0.1*Inputs!D15*2.0</f>
        <v>0</v>
      </c>
    </row>
    <row r="21" spans="1:9">
      <c r="A21" s="2">
        <v>0.15</v>
      </c>
      <c r="B21" s="13">
        <f>0.15*Inputs!D15*0.05</f>
        <v>0</v>
      </c>
      <c r="C21" s="13">
        <f>0.15*Inputs!D15*0.1</f>
        <v>0</v>
      </c>
      <c r="D21" s="13">
        <f>0.15*Inputs!D15*0.2</f>
        <v>0</v>
      </c>
      <c r="E21" s="13">
        <f>0.15*Inputs!D15*0.5</f>
        <v>0</v>
      </c>
      <c r="F21" s="13">
        <f>0.15*Inputs!D15*1.0</f>
        <v>0</v>
      </c>
      <c r="G21" s="13">
        <f>0.15*Inputs!D15*1.5</f>
        <v>0</v>
      </c>
      <c r="H21" s="13">
        <f>0.15*Inputs!D15*2.0</f>
        <v>0</v>
      </c>
    </row>
    <row r="22" spans="1:9">
      <c r="A22" s="2">
        <v>0.2</v>
      </c>
      <c r="B22" s="13">
        <f>0.2*Inputs!D15*0.05</f>
        <v>0</v>
      </c>
      <c r="C22" s="13">
        <f>0.2*Inputs!D15*0.1</f>
        <v>0</v>
      </c>
      <c r="D22" s="13">
        <f>0.2*Inputs!D15*0.2</f>
        <v>0</v>
      </c>
      <c r="E22" s="13">
        <f>0.2*Inputs!D15*0.5</f>
        <v>0</v>
      </c>
      <c r="F22" s="13">
        <f>0.2*Inputs!D15*1.0</f>
        <v>0</v>
      </c>
      <c r="G22" s="13">
        <f>0.2*Inputs!D15*1.5</f>
        <v>0</v>
      </c>
      <c r="H22" s="13">
        <f>0.2*Inputs!D15*2.0</f>
        <v>0</v>
      </c>
    </row>
    <row r="23" spans="1:9">
      <c r="A23" s="2">
        <v>0.3</v>
      </c>
      <c r="B23" s="13">
        <f>0.3*Inputs!D15*0.05</f>
        <v>0</v>
      </c>
      <c r="C23" s="13">
        <f>0.3*Inputs!D15*0.1</f>
        <v>0</v>
      </c>
      <c r="D23" s="13">
        <f>0.3*Inputs!D15*0.2</f>
        <v>0</v>
      </c>
      <c r="E23" s="13">
        <f>0.3*Inputs!D15*0.5</f>
        <v>0</v>
      </c>
      <c r="F23" s="13">
        <f>0.3*Inputs!D15*1.0</f>
        <v>0</v>
      </c>
      <c r="G23" s="13">
        <f>0.3*Inputs!D15*1.5</f>
        <v>0</v>
      </c>
      <c r="H23" s="13">
        <f>0.3*Inputs!D15*2.0</f>
        <v>0</v>
      </c>
    </row>
    <row r="24" spans="1:9">
      <c r="A24" s="2">
        <v>0.5</v>
      </c>
      <c r="B24" s="13">
        <f>0.5*Inputs!D15*0.05</f>
        <v>0</v>
      </c>
      <c r="C24" s="13">
        <f>0.5*Inputs!D15*0.1</f>
        <v>0</v>
      </c>
      <c r="D24" s="13">
        <f>0.5*Inputs!D15*0.2</f>
        <v>0</v>
      </c>
      <c r="E24" s="13">
        <f>0.5*Inputs!D15*0.5</f>
        <v>0</v>
      </c>
      <c r="F24" s="13">
        <f>0.5*Inputs!D15*1.0</f>
        <v>0</v>
      </c>
      <c r="G24" s="13">
        <f>0.5*Inputs!D15*1.5</f>
        <v>0</v>
      </c>
      <c r="H24" s="13">
        <f>0.5*Inputs!D15*2.0</f>
        <v>0</v>
      </c>
    </row>
    <row r="27" spans="1:9">
      <c r="A27" s="4" t="s">
        <v>154</v>
      </c>
      <c r="B27" s="4"/>
      <c r="C27" s="4"/>
      <c r="D27" s="4"/>
      <c r="E27" s="4"/>
      <c r="F27" s="4"/>
      <c r="G27" s="4"/>
      <c r="H27" s="4"/>
      <c r="I27" s="4"/>
    </row>
    <row r="29" spans="1:9">
      <c r="A29" s="6" t="s">
        <v>155</v>
      </c>
      <c r="B29" s="6">
        <v>0.1</v>
      </c>
      <c r="C29" s="6">
        <v>0.25</v>
      </c>
      <c r="D29" s="6">
        <v>0.4</v>
      </c>
      <c r="E29" s="6">
        <v>0.6</v>
      </c>
      <c r="F29" s="6">
        <v>0.75</v>
      </c>
      <c r="G29" s="6">
        <v>0.9</v>
      </c>
      <c r="H29" s="6">
        <v>1</v>
      </c>
    </row>
    <row r="30" spans="1:9">
      <c r="A30" s="2">
        <v>1</v>
      </c>
      <c r="B30" s="13">
        <f>1*0.1*Inputs!D29</f>
        <v>0</v>
      </c>
      <c r="C30" s="13">
        <f>1*0.25*Inputs!D29</f>
        <v>0</v>
      </c>
      <c r="D30" s="13">
        <f>1*0.4*Inputs!D29</f>
        <v>0</v>
      </c>
      <c r="E30" s="13">
        <f>1*0.6*Inputs!D29</f>
        <v>0</v>
      </c>
      <c r="F30" s="13">
        <f>1*0.75*Inputs!D29</f>
        <v>0</v>
      </c>
      <c r="G30" s="13">
        <f>1*0.9*Inputs!D29</f>
        <v>0</v>
      </c>
      <c r="H30" s="13">
        <f>1*1.0*Inputs!D29</f>
        <v>0</v>
      </c>
    </row>
    <row r="31" spans="1:9">
      <c r="A31" s="2">
        <v>3</v>
      </c>
      <c r="B31" s="13">
        <f>3*0.1*Inputs!D29</f>
        <v>0</v>
      </c>
      <c r="C31" s="13">
        <f>3*0.25*Inputs!D29</f>
        <v>0</v>
      </c>
      <c r="D31" s="13">
        <f>3*0.4*Inputs!D29</f>
        <v>0</v>
      </c>
      <c r="E31" s="13">
        <f>3*0.6*Inputs!D29</f>
        <v>0</v>
      </c>
      <c r="F31" s="13">
        <f>3*0.75*Inputs!D29</f>
        <v>0</v>
      </c>
      <c r="G31" s="13">
        <f>3*0.9*Inputs!D29</f>
        <v>0</v>
      </c>
      <c r="H31" s="13">
        <f>3*1.0*Inputs!D29</f>
        <v>0</v>
      </c>
    </row>
    <row r="32" spans="1:9">
      <c r="A32" s="2">
        <v>5</v>
      </c>
      <c r="B32" s="13">
        <f>5*0.1*Inputs!D29</f>
        <v>0</v>
      </c>
      <c r="C32" s="13">
        <f>5*0.25*Inputs!D29</f>
        <v>0</v>
      </c>
      <c r="D32" s="13">
        <f>5*0.4*Inputs!D29</f>
        <v>0</v>
      </c>
      <c r="E32" s="13">
        <f>5*0.6*Inputs!D29</f>
        <v>0</v>
      </c>
      <c r="F32" s="13">
        <f>5*0.75*Inputs!D29</f>
        <v>0</v>
      </c>
      <c r="G32" s="13">
        <f>5*0.9*Inputs!D29</f>
        <v>0</v>
      </c>
      <c r="H32" s="13">
        <f>5*1.0*Inputs!D29</f>
        <v>0</v>
      </c>
    </row>
    <row r="33" spans="1:9">
      <c r="A33" s="2">
        <v>10</v>
      </c>
      <c r="B33" s="13">
        <f>10*0.1*Inputs!D29</f>
        <v>0</v>
      </c>
      <c r="C33" s="13">
        <f>10*0.25*Inputs!D29</f>
        <v>0</v>
      </c>
      <c r="D33" s="13">
        <f>10*0.4*Inputs!D29</f>
        <v>0</v>
      </c>
      <c r="E33" s="13">
        <f>10*0.6*Inputs!D29</f>
        <v>0</v>
      </c>
      <c r="F33" s="13">
        <f>10*0.75*Inputs!D29</f>
        <v>0</v>
      </c>
      <c r="G33" s="13">
        <f>10*0.9*Inputs!D29</f>
        <v>0</v>
      </c>
      <c r="H33" s="13">
        <f>10*1.0*Inputs!D29</f>
        <v>0</v>
      </c>
    </row>
    <row r="34" spans="1:9">
      <c r="A34" s="2">
        <v>15</v>
      </c>
      <c r="B34" s="13">
        <f>15*0.1*Inputs!D29</f>
        <v>0</v>
      </c>
      <c r="C34" s="13">
        <f>15*0.25*Inputs!D29</f>
        <v>0</v>
      </c>
      <c r="D34" s="13">
        <f>15*0.4*Inputs!D29</f>
        <v>0</v>
      </c>
      <c r="E34" s="13">
        <f>15*0.6*Inputs!D29</f>
        <v>0</v>
      </c>
      <c r="F34" s="13">
        <f>15*0.75*Inputs!D29</f>
        <v>0</v>
      </c>
      <c r="G34" s="13">
        <f>15*0.9*Inputs!D29</f>
        <v>0</v>
      </c>
      <c r="H34" s="13">
        <f>15*1.0*Inputs!D29</f>
        <v>0</v>
      </c>
    </row>
    <row r="35" spans="1:9">
      <c r="A35" s="2">
        <v>25</v>
      </c>
      <c r="B35" s="13">
        <f>25*0.1*Inputs!D29</f>
        <v>0</v>
      </c>
      <c r="C35" s="13">
        <f>25*0.25*Inputs!D29</f>
        <v>0</v>
      </c>
      <c r="D35" s="13">
        <f>25*0.4*Inputs!D29</f>
        <v>0</v>
      </c>
      <c r="E35" s="13">
        <f>25*0.6*Inputs!D29</f>
        <v>0</v>
      </c>
      <c r="F35" s="13">
        <f>25*0.75*Inputs!D29</f>
        <v>0</v>
      </c>
      <c r="G35" s="13">
        <f>25*0.9*Inputs!D29</f>
        <v>0</v>
      </c>
      <c r="H35" s="13">
        <f>25*1.0*Inputs!D29</f>
        <v>0</v>
      </c>
    </row>
    <row r="36" spans="1:9">
      <c r="A36" s="2">
        <v>40</v>
      </c>
      <c r="B36" s="13">
        <f>40*0.1*Inputs!D29</f>
        <v>0</v>
      </c>
      <c r="C36" s="13">
        <f>40*0.25*Inputs!D29</f>
        <v>0</v>
      </c>
      <c r="D36" s="13">
        <f>40*0.4*Inputs!D29</f>
        <v>0</v>
      </c>
      <c r="E36" s="13">
        <f>40*0.6*Inputs!D29</f>
        <v>0</v>
      </c>
      <c r="F36" s="13">
        <f>40*0.75*Inputs!D29</f>
        <v>0</v>
      </c>
      <c r="G36" s="13">
        <f>40*0.9*Inputs!D29</f>
        <v>0</v>
      </c>
      <c r="H36" s="13">
        <f>40*1.0*Inputs!D29</f>
        <v>0</v>
      </c>
    </row>
    <row r="39" spans="1:9">
      <c r="A39" s="4" t="s">
        <v>156</v>
      </c>
      <c r="B39" s="4"/>
      <c r="C39" s="4"/>
      <c r="D39" s="4"/>
      <c r="E39" s="4"/>
      <c r="F39" s="4"/>
      <c r="G39" s="4"/>
      <c r="H39" s="4"/>
      <c r="I39" s="4"/>
    </row>
    <row r="41" spans="1:9">
      <c r="A41" s="6" t="s">
        <v>157</v>
      </c>
      <c r="B41" s="6">
        <v>0</v>
      </c>
      <c r="C41" s="6">
        <v>0.05</v>
      </c>
      <c r="D41" s="6">
        <v>0.1</v>
      </c>
      <c r="E41" s="6">
        <v>0.2</v>
      </c>
      <c r="F41" s="6">
        <v>0.3</v>
      </c>
      <c r="G41" s="6">
        <v>0.5</v>
      </c>
      <c r="H41" s="6">
        <v>1</v>
      </c>
    </row>
    <row r="42" spans="1:9">
      <c r="A42" s="2">
        <v>1</v>
      </c>
      <c r="B42" s="12">
        <f>(1+4*1)*(1+0.0)</f>
        <v>0</v>
      </c>
      <c r="C42" s="12">
        <f>(1+4*1)*(1+0.05)</f>
        <v>0</v>
      </c>
      <c r="D42" s="12">
        <f>(1+4*1)*(1+0.1)</f>
        <v>0</v>
      </c>
      <c r="E42" s="12">
        <f>(1+4*1)*(1+0.2)</f>
        <v>0</v>
      </c>
      <c r="F42" s="12">
        <f>(1+4*1)*(1+0.3)</f>
        <v>0</v>
      </c>
      <c r="G42" s="12">
        <f>(1+4*1)*(1+0.5)</f>
        <v>0</v>
      </c>
      <c r="H42" s="12">
        <f>(1+4*1)*(1+1.0)</f>
        <v>0</v>
      </c>
    </row>
    <row r="43" spans="1:9">
      <c r="A43" s="2">
        <v>2</v>
      </c>
      <c r="B43" s="12">
        <f>(1+4*2)*(1+0.0)</f>
        <v>0</v>
      </c>
      <c r="C43" s="12">
        <f>(1+4*2)*(1+0.05)</f>
        <v>0</v>
      </c>
      <c r="D43" s="12">
        <f>(1+4*2)*(1+0.1)</f>
        <v>0</v>
      </c>
      <c r="E43" s="12">
        <f>(1+4*2)*(1+0.2)</f>
        <v>0</v>
      </c>
      <c r="F43" s="12">
        <f>(1+4*2)*(1+0.3)</f>
        <v>0</v>
      </c>
      <c r="G43" s="12">
        <f>(1+4*2)*(1+0.5)</f>
        <v>0</v>
      </c>
      <c r="H43" s="12">
        <f>(1+4*2)*(1+1.0)</f>
        <v>0</v>
      </c>
    </row>
    <row r="44" spans="1:9">
      <c r="A44" s="2">
        <v>3</v>
      </c>
      <c r="B44" s="12">
        <f>(1+4*3)*(1+0.0)</f>
        <v>0</v>
      </c>
      <c r="C44" s="12">
        <f>(1+4*3)*(1+0.05)</f>
        <v>0</v>
      </c>
      <c r="D44" s="12">
        <f>(1+4*3)*(1+0.1)</f>
        <v>0</v>
      </c>
      <c r="E44" s="12">
        <f>(1+4*3)*(1+0.2)</f>
        <v>0</v>
      </c>
      <c r="F44" s="12">
        <f>(1+4*3)*(1+0.3)</f>
        <v>0</v>
      </c>
      <c r="G44" s="12">
        <f>(1+4*3)*(1+0.5)</f>
        <v>0</v>
      </c>
      <c r="H44" s="12">
        <f>(1+4*3)*(1+1.0)</f>
        <v>0</v>
      </c>
    </row>
    <row r="45" spans="1:9">
      <c r="A45" s="2">
        <v>4</v>
      </c>
      <c r="B45" s="12">
        <f>(1+4*4)*(1+0.0)</f>
        <v>0</v>
      </c>
      <c r="C45" s="12">
        <f>(1+4*4)*(1+0.05)</f>
        <v>0</v>
      </c>
      <c r="D45" s="12">
        <f>(1+4*4)*(1+0.1)</f>
        <v>0</v>
      </c>
      <c r="E45" s="12">
        <f>(1+4*4)*(1+0.2)</f>
        <v>0</v>
      </c>
      <c r="F45" s="12">
        <f>(1+4*4)*(1+0.3)</f>
        <v>0</v>
      </c>
      <c r="G45" s="12">
        <f>(1+4*4)*(1+0.5)</f>
        <v>0</v>
      </c>
      <c r="H45" s="12">
        <f>(1+4*4)*(1+1.0)</f>
        <v>0</v>
      </c>
    </row>
    <row r="46" spans="1:9">
      <c r="A46" s="2">
        <v>5</v>
      </c>
      <c r="B46" s="12">
        <f>(1+4*5)*(1+0.0)</f>
        <v>0</v>
      </c>
      <c r="C46" s="12">
        <f>(1+4*5)*(1+0.05)</f>
        <v>0</v>
      </c>
      <c r="D46" s="12">
        <f>(1+4*5)*(1+0.1)</f>
        <v>0</v>
      </c>
      <c r="E46" s="12">
        <f>(1+4*5)*(1+0.2)</f>
        <v>0</v>
      </c>
      <c r="F46" s="12">
        <f>(1+4*5)*(1+0.3)</f>
        <v>0</v>
      </c>
      <c r="G46" s="12">
        <f>(1+4*5)*(1+0.5)</f>
        <v>0</v>
      </c>
      <c r="H46" s="12">
        <f>(1+4*5)*(1+1.0)</f>
        <v>0</v>
      </c>
    </row>
    <row r="47" spans="1:9">
      <c r="A47" s="2">
        <v>8</v>
      </c>
      <c r="B47" s="12">
        <f>(1+4*8)*(1+0.0)</f>
        <v>0</v>
      </c>
      <c r="C47" s="12">
        <f>(1+4*8)*(1+0.05)</f>
        <v>0</v>
      </c>
      <c r="D47" s="12">
        <f>(1+4*8)*(1+0.1)</f>
        <v>0</v>
      </c>
      <c r="E47" s="12">
        <f>(1+4*8)*(1+0.2)</f>
        <v>0</v>
      </c>
      <c r="F47" s="12">
        <f>(1+4*8)*(1+0.3)</f>
        <v>0</v>
      </c>
      <c r="G47" s="12">
        <f>(1+4*8)*(1+0.5)</f>
        <v>0</v>
      </c>
      <c r="H47" s="12">
        <f>(1+4*8)*(1+1.0)</f>
        <v>0</v>
      </c>
    </row>
    <row r="48" spans="1:9">
      <c r="A48" s="2">
        <v>12</v>
      </c>
      <c r="B48" s="12">
        <f>(1+4*12)*(1+0.0)</f>
        <v>0</v>
      </c>
      <c r="C48" s="12">
        <f>(1+4*12)*(1+0.05)</f>
        <v>0</v>
      </c>
      <c r="D48" s="12">
        <f>(1+4*12)*(1+0.1)</f>
        <v>0</v>
      </c>
      <c r="E48" s="12">
        <f>(1+4*12)*(1+0.2)</f>
        <v>0</v>
      </c>
      <c r="F48" s="12">
        <f>(1+4*12)*(1+0.3)</f>
        <v>0</v>
      </c>
      <c r="G48" s="12">
        <f>(1+4*12)*(1+0.5)</f>
        <v>0</v>
      </c>
      <c r="H48" s="12">
        <f>(1+4*12)*(1+1.0)</f>
        <v>0</v>
      </c>
    </row>
  </sheetData>
  <mergeCells count="5">
    <mergeCell ref="A1:I1"/>
    <mergeCell ref="A3:I3"/>
    <mergeCell ref="A15:I15"/>
    <mergeCell ref="A27:I27"/>
    <mergeCell ref="A39:I39"/>
  </mergeCells>
  <conditionalFormatting sqref="B18:H24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B30:H36">
    <cfRule type="colorScale" priority="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B42:H48">
    <cfRule type="colorScale" priority="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B6:H12">
    <cfRule type="colorScale" priority="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cols>
    <col min="1" max="1" width="44.7109375" customWidth="1"/>
    <col min="2" max="6" width="16.7109375" customWidth="1"/>
  </cols>
  <sheetData>
    <row r="1" spans="1:6" ht="28" customHeight="1">
      <c r="A1" s="1" t="s">
        <v>158</v>
      </c>
      <c r="B1" s="1"/>
      <c r="C1" s="1"/>
      <c r="D1" s="1"/>
      <c r="E1" s="1"/>
      <c r="F1" s="1"/>
    </row>
    <row r="3" spans="1:6">
      <c r="A3" s="6" t="s">
        <v>159</v>
      </c>
      <c r="B3" s="6" t="s">
        <v>160</v>
      </c>
      <c r="C3" s="6" t="s">
        <v>161</v>
      </c>
      <c r="D3" s="6" t="s">
        <v>162</v>
      </c>
      <c r="E3" s="6" t="s">
        <v>163</v>
      </c>
      <c r="F3" s="6" t="s">
        <v>164</v>
      </c>
    </row>
    <row r="4" spans="1:6">
      <c r="A4" s="2" t="s">
        <v>165</v>
      </c>
      <c r="B4" s="13">
        <f>(Inputs!D9*(1+Inputs!D12+0.0)*(Inputs!D18*1.0*Inputs!D22*1.0+Inputs!D19*1.0*Inputs!D23*1.0)/1000+ Inputs!D10*Inputs!D11*(1+Inputs!D12+0.0)*(Inputs!D18*1.0*Inputs!D24*1.0+Inputs!D19*1.0*Inputs!D25*1.0)/1000+ Inputs!D27*1.0*Inputs!D28*Inputs!D29+ Inputs!D14*1.0*Inputs!D15*Inputs!D16+ Inputs!D30 + Inputs!D31 + Inputs!D34 + Inputs!D36) * (1+Inputs!D35+Inputs!D33) / (1-Inputs!D13*1.0)</f>
        <v>0</v>
      </c>
      <c r="C4" s="17">
        <f>IF(Inputs!D38&gt;0,(Inputs!D38-B4)/Inputs!D38,-1)</f>
        <v>0</v>
      </c>
      <c r="D4" s="12">
        <f>IF(B4&gt;Inputs!D38*Inputs!D41,"YES","no")</f>
        <v>0</v>
      </c>
      <c r="E4" s="13">
        <f>B4-'Cost-Per-Task'!D15</f>
        <v>0</v>
      </c>
      <c r="F4" s="3" t="s">
        <v>166</v>
      </c>
    </row>
    <row r="5" spans="1:6">
      <c r="A5" s="2" t="s">
        <v>167</v>
      </c>
      <c r="B5" s="13">
        <f>(Inputs!D9*(1+Inputs!D12+0.0)*(Inputs!D18*1.0*Inputs!D22*5.0+Inputs!D19*1.0*Inputs!D23*5.0)/1000+ Inputs!D10*Inputs!D11*(1+Inputs!D12+0.0)*(Inputs!D18*1.0*Inputs!D24*5.0+Inputs!D19*1.0*Inputs!D25*5.0)/1000+ Inputs!D27*1.0*Inputs!D28*Inputs!D29+ Inputs!D14*1.0*Inputs!D15*Inputs!D16+ Inputs!D30 + Inputs!D31 + Inputs!D34 + Inputs!D36) * (1+Inputs!D35+Inputs!D33) / (1-Inputs!D13*1.0)</f>
        <v>0</v>
      </c>
      <c r="C5" s="17">
        <f>IF(Inputs!D38&gt;0,(Inputs!D38-B5)/Inputs!D38,-1)</f>
        <v>0</v>
      </c>
      <c r="D5" s="12">
        <f>IF(B5&gt;Inputs!D38*Inputs!D41,"YES","no")</f>
        <v>0</v>
      </c>
      <c r="E5" s="13">
        <f>B5-'Cost-Per-Task'!D15</f>
        <v>0</v>
      </c>
      <c r="F5" s="3" t="s">
        <v>168</v>
      </c>
    </row>
    <row r="6" spans="1:6">
      <c r="A6" s="2" t="s">
        <v>169</v>
      </c>
      <c r="B6" s="13">
        <f>(Inputs!D9*(1+Inputs!D12+0.0)*(Inputs!D18*1.0*Inputs!D22*1.0+Inputs!D19*1.0*Inputs!D23*1.0)/1000+ Inputs!D10*Inputs!D11*(1+Inputs!D12+0.0)*(Inputs!D18*1.0*Inputs!D24*1.0+Inputs!D19*1.0*Inputs!D25*1.0)/1000+ Inputs!D27*1.0*Inputs!D28*Inputs!D29+ Inputs!D14*2.0*Inputs!D15*Inputs!D16+ Inputs!D30 + Inputs!D31 + Inputs!D34 + Inputs!D36) * (1+Inputs!D35+Inputs!D33) / (1-Inputs!D13*1.0)</f>
        <v>0</v>
      </c>
      <c r="C6" s="17">
        <f>IF(Inputs!D38&gt;0,(Inputs!D38-B6)/Inputs!D38,-1)</f>
        <v>0</v>
      </c>
      <c r="D6" s="12">
        <f>IF(B6&gt;Inputs!D38*Inputs!D41,"YES","no")</f>
        <v>0</v>
      </c>
      <c r="E6" s="13">
        <f>B6-'Cost-Per-Task'!D15</f>
        <v>0</v>
      </c>
      <c r="F6" s="3" t="s">
        <v>170</v>
      </c>
    </row>
    <row r="7" spans="1:6">
      <c r="A7" s="2" t="s">
        <v>171</v>
      </c>
      <c r="B7" s="13">
        <f>(Inputs!D9*(1+Inputs!D12+0.0)*(Inputs!D18*1.0*Inputs!D22*2.0+Inputs!D19*1.0*Inputs!D23*2.0)/1000+ Inputs!D10*Inputs!D11*(1+Inputs!D12+0.0)*(Inputs!D18*1.0*Inputs!D24*2.0+Inputs!D19*1.0*Inputs!D25*2.0)/1000+ Inputs!D27*1.0*Inputs!D28*Inputs!D29+ Inputs!D14*1.0*Inputs!D15*Inputs!D16+ Inputs!D30 + Inputs!D31 + Inputs!D34 + Inputs!D36) * (1+Inputs!D35+Inputs!D33) / (1-Inputs!D13*1.0)</f>
        <v>0</v>
      </c>
      <c r="C7" s="17">
        <f>IF(Inputs!D38&gt;0,(Inputs!D38-B7)/Inputs!D38,-1)</f>
        <v>0</v>
      </c>
      <c r="D7" s="12">
        <f>IF(B7&gt;Inputs!D38*Inputs!D41,"YES","no")</f>
        <v>0</v>
      </c>
      <c r="E7" s="13">
        <f>B7-'Cost-Per-Task'!D15</f>
        <v>0</v>
      </c>
      <c r="F7" s="3" t="s">
        <v>172</v>
      </c>
    </row>
    <row r="8" spans="1:6">
      <c r="A8" s="2" t="s">
        <v>173</v>
      </c>
      <c r="B8" s="13">
        <f>(Inputs!D9*(1+Inputs!D12+0.1)*(Inputs!D18*1.0*Inputs!D22*1.0+Inputs!D19*1.0*Inputs!D23*1.0)/1000+ Inputs!D10*Inputs!D11*(1+Inputs!D12+0.1)*(Inputs!D18*1.0*Inputs!D24*1.0+Inputs!D19*1.0*Inputs!D25*1.0)/1000+ Inputs!D27*3.0*Inputs!D28*Inputs!D29+ Inputs!D14*1.0*Inputs!D15*Inputs!D16+ Inputs!D30 + Inputs!D31 + Inputs!D34 + Inputs!D36) * (1+Inputs!D35+Inputs!D33) / (1-Inputs!D13*1.0)</f>
        <v>0</v>
      </c>
      <c r="C8" s="17">
        <f>IF(Inputs!D38&gt;0,(Inputs!D38-B8)/Inputs!D38,-1)</f>
        <v>0</v>
      </c>
      <c r="D8" s="12">
        <f>IF(B8&gt;Inputs!D38*Inputs!D41,"YES","no")</f>
        <v>0</v>
      </c>
      <c r="E8" s="13">
        <f>B8-'Cost-Per-Task'!D15</f>
        <v>0</v>
      </c>
      <c r="F8" s="3" t="s">
        <v>174</v>
      </c>
    </row>
    <row r="9" spans="1:6">
      <c r="A9" s="2" t="s">
        <v>175</v>
      </c>
      <c r="B9" s="13">
        <f>(Inputs!D9*(1+Inputs!D12+0.0)*(Inputs!D18*1.0*Inputs!D22*1.0+Inputs!D19*1.0*Inputs!D23*1.0)/1000+ Inputs!D10*Inputs!D11*(1+Inputs!D12+0.0)*(Inputs!D18*1.0*Inputs!D24*1.0+Inputs!D19*1.0*Inputs!D25*1.0)/1000+ Inputs!D27*1.0*Inputs!D28*Inputs!D29+ Inputs!D14*1.0*Inputs!D15*Inputs!D16+ Inputs!D30 + Inputs!D31 + Inputs!D34 + Inputs!D36) * (1+Inputs!D35+Inputs!D33) / (1-Inputs!D13*0.5)</f>
        <v>0</v>
      </c>
      <c r="C9" s="17">
        <f>IF(Inputs!D38&gt;0,(Inputs!D38-B9)/Inputs!D38,-1)</f>
        <v>0</v>
      </c>
      <c r="D9" s="12">
        <f>IF(B9&gt;Inputs!D38*Inputs!D41,"YES","no")</f>
        <v>0</v>
      </c>
      <c r="E9" s="13">
        <f>B9-'Cost-Per-Task'!D15</f>
        <v>0</v>
      </c>
      <c r="F9" s="3" t="s">
        <v>176</v>
      </c>
    </row>
    <row r="10" spans="1:6">
      <c r="A10" s="2" t="s">
        <v>177</v>
      </c>
      <c r="B10" s="13">
        <f>(Inputs!D9*(1+Inputs!D12+0.0)*(Inputs!D18*1.0*Inputs!D22*2.0+Inputs!D19*1.0*Inputs!D23*2.0)/1000+ Inputs!D10*Inputs!D11*(1+Inputs!D12+0.0)*(Inputs!D18*1.0*Inputs!D24*2.0+Inputs!D19*1.0*Inputs!D25*2.0)/1000+ Inputs!D27*1.0*Inputs!D28*Inputs!D29+ Inputs!D14*2.0*Inputs!D15*Inputs!D16+ Inputs!D30 + Inputs!D31 + Inputs!D34 + Inputs!D36) * (1+Inputs!D35+Inputs!D33) / (1-(Inputs!D13+0.10))</f>
        <v>0</v>
      </c>
      <c r="C10" s="17">
        <f>IF(Inputs!D38&gt;0,(Inputs!D38-B10)/Inputs!D38,-1)</f>
        <v>0</v>
      </c>
      <c r="D10" s="12">
        <f>IF(B10&gt;Inputs!D38*Inputs!D41,"YES","no")</f>
        <v>0</v>
      </c>
      <c r="E10" s="13">
        <f>B10-'Cost-Per-Task'!D15</f>
        <v>0</v>
      </c>
      <c r="F10" s="3" t="s">
        <v>178</v>
      </c>
    </row>
  </sheetData>
  <mergeCells count="1">
    <mergeCell ref="A1:F1"/>
  </mergeCells>
  <conditionalFormatting sqref="C4:C10">
    <cfRule type="cellIs" dxfId="2" priority="1" operator="lessThan">
      <formula>0.0</formula>
    </cfRule>
    <cfRule type="cellIs" dxfId="1" priority="2" operator="between">
      <formula>0.0</formula>
      <formula>0.5</formula>
    </cfRule>
    <cfRule type="cellIs" dxfId="0" priority="3" operator="greaterThanOrEqual">
      <formula>0.5</formula>
    </cfRule>
  </conditionalFormatting>
  <conditionalFormatting sqref="D4:D10">
    <cfRule type="containsText" dxfId="2" priority="4" operator="containsText" text="YES">
      <formula>NOT(ISERROR(SEARCH("YES",D4)))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FormatPr defaultRowHeight="15"/>
  <cols>
    <col min="1" max="1" width="42.7109375" customWidth="1"/>
    <col min="2" max="2" width="18.7109375" customWidth="1"/>
    <col min="3" max="5" width="14.7109375" customWidth="1"/>
  </cols>
  <sheetData>
    <row r="1" spans="1:5" ht="30" customHeight="1">
      <c r="A1" s="1" t="s">
        <v>179</v>
      </c>
      <c r="B1" s="1"/>
      <c r="C1" s="1"/>
      <c r="D1" s="1"/>
      <c r="E1" s="1"/>
    </row>
    <row r="4" spans="1:5" ht="22" customHeight="1">
      <c r="A4" s="19" t="s">
        <v>180</v>
      </c>
      <c r="B4" s="20">
        <f>'Cost-Per-Task'!B14</f>
        <v>0</v>
      </c>
    </row>
    <row r="5" spans="1:5" ht="22" customHeight="1">
      <c r="A5" s="19" t="s">
        <v>181</v>
      </c>
      <c r="B5" s="20">
        <f>'Cost-Per-Task'!C14</f>
        <v>0</v>
      </c>
    </row>
    <row r="6" spans="1:5" ht="22" customHeight="1">
      <c r="A6" s="19" t="s">
        <v>182</v>
      </c>
      <c r="B6" s="20">
        <f>'Cost-Per-Task'!D14</f>
        <v>0</v>
      </c>
    </row>
    <row r="7" spans="1:5" ht="22" customHeight="1">
      <c r="A7" s="19" t="s">
        <v>183</v>
      </c>
      <c r="B7" s="20">
        <f>'Cost-Per-Task'!B15</f>
        <v>0</v>
      </c>
    </row>
    <row r="8" spans="1:5" ht="22" customHeight="1">
      <c r="A8" s="19" t="s">
        <v>184</v>
      </c>
      <c r="B8" s="20">
        <f>'Cost-Per-Task'!C15</f>
        <v>0</v>
      </c>
    </row>
    <row r="9" spans="1:5" ht="22" customHeight="1">
      <c r="A9" s="19" t="s">
        <v>185</v>
      </c>
      <c r="B9" s="20">
        <f>'Cost-Per-Task'!D15</f>
        <v>0</v>
      </c>
    </row>
    <row r="10" spans="1:5" ht="22" customHeight="1">
      <c r="A10" s="19" t="s">
        <v>186</v>
      </c>
      <c r="B10" s="21">
        <f>'Margin-Analysis'!B10</f>
        <v>0</v>
      </c>
    </row>
    <row r="11" spans="1:5" ht="22" customHeight="1">
      <c r="A11" s="19" t="s">
        <v>187</v>
      </c>
      <c r="B11" s="21">
        <f>'Margin-Analysis'!C10</f>
        <v>0</v>
      </c>
    </row>
    <row r="12" spans="1:5" ht="22" customHeight="1">
      <c r="A12" s="19" t="s">
        <v>188</v>
      </c>
      <c r="B12" s="21">
        <f>'Margin-Analysis'!D10</f>
        <v>0</v>
      </c>
    </row>
    <row r="13" spans="1:5" ht="22" customHeight="1">
      <c r="A13" s="19" t="s">
        <v>189</v>
      </c>
      <c r="B13" s="21">
        <f>'Margin-Analysis'!C13</f>
        <v>0</v>
      </c>
    </row>
    <row r="14" spans="1:5" ht="22" customHeight="1">
      <c r="A14" s="19" t="s">
        <v>190</v>
      </c>
      <c r="B14" s="21">
        <f>'Margin-Analysis'!D13</f>
        <v>0</v>
      </c>
    </row>
    <row r="15" spans="1:5" ht="22" customHeight="1">
      <c r="A15" s="19" t="s">
        <v>191</v>
      </c>
      <c r="B15" s="20">
        <f>'Cost-Per-Task'!B18</f>
        <v>0</v>
      </c>
    </row>
    <row r="16" spans="1:5" ht="22" customHeight="1">
      <c r="A16" s="19" t="s">
        <v>192</v>
      </c>
      <c r="B16" s="20">
        <f>'Cost-Per-Task'!B18*FX_UGX_A</f>
        <v>0</v>
      </c>
    </row>
    <row r="17" spans="1:2" ht="22" customHeight="1">
      <c r="A17" s="19" t="s">
        <v>193</v>
      </c>
      <c r="B17" s="3" t="s">
        <v>194</v>
      </c>
    </row>
  </sheetData>
  <mergeCells count="1">
    <mergeCell ref="A1:E1"/>
  </mergeCells>
  <conditionalFormatting sqref="B10:B12">
    <cfRule type="cellIs" dxfId="0" priority="1" operator="greaterThanOrEqual">
      <formula>0.7</formula>
    </cfRule>
    <cfRule type="cellIs" dxfId="1" priority="2" operator="between">
      <formula>0.5</formula>
      <formula>0.7</formula>
    </cfRule>
    <cfRule type="cellIs" dxfId="2" priority="3" operator="lessThan">
      <formula>0.5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sheetFormatPr defaultRowHeight="15"/>
  <cols>
    <col min="1" max="1" width="32.7109375" customWidth="1"/>
    <col min="2" max="2" width="95.7109375" customWidth="1"/>
  </cols>
  <sheetData>
    <row r="1" spans="1:2" ht="30" customHeight="1">
      <c r="A1" s="22" t="s">
        <v>195</v>
      </c>
      <c r="B1" s="22"/>
    </row>
    <row r="3" spans="1:2" ht="60" customHeight="1">
      <c r="A3" s="2" t="s">
        <v>196</v>
      </c>
      <c r="B3" s="23" t="s">
        <v>197</v>
      </c>
    </row>
    <row r="4" spans="1:2" ht="60" customHeight="1">
      <c r="A4" s="2" t="s">
        <v>198</v>
      </c>
      <c r="B4" s="23" t="s">
        <v>199</v>
      </c>
    </row>
    <row r="5" spans="1:2" ht="60" customHeight="1">
      <c r="A5" s="2" t="s">
        <v>200</v>
      </c>
      <c r="B5" s="23" t="s">
        <v>201</v>
      </c>
    </row>
    <row r="6" spans="1:2" ht="60" customHeight="1">
      <c r="A6" s="2" t="s">
        <v>202</v>
      </c>
      <c r="B6" s="23" t="s">
        <v>203</v>
      </c>
    </row>
    <row r="7" spans="1:2" ht="60" customHeight="1">
      <c r="A7" s="2" t="s">
        <v>204</v>
      </c>
      <c r="B7" s="23" t="s">
        <v>205</v>
      </c>
    </row>
    <row r="8" spans="1:2" ht="60" customHeight="1">
      <c r="A8" s="2" t="s">
        <v>206</v>
      </c>
      <c r="B8" s="23" t="s">
        <v>207</v>
      </c>
    </row>
    <row r="9" spans="1:2" ht="60" customHeight="1">
      <c r="A9" s="2" t="s">
        <v>208</v>
      </c>
      <c r="B9" s="23" t="s">
        <v>209</v>
      </c>
    </row>
    <row r="10" spans="1:2" ht="60" customHeight="1">
      <c r="A10" s="2" t="s">
        <v>210</v>
      </c>
      <c r="B10" s="23" t="s">
        <v>211</v>
      </c>
    </row>
    <row r="11" spans="1:2" ht="60" customHeight="1">
      <c r="A11" s="2" t="s">
        <v>212</v>
      </c>
      <c r="B11" s="23" t="s">
        <v>213</v>
      </c>
    </row>
    <row r="12" spans="1:2" ht="60" customHeight="1">
      <c r="A12" s="2" t="s">
        <v>214</v>
      </c>
      <c r="B12" s="23" t="s">
        <v>215</v>
      </c>
    </row>
    <row r="13" spans="1:2" ht="60" customHeight="1">
      <c r="A13" s="2" t="s">
        <v>216</v>
      </c>
      <c r="B13" s="23" t="s">
        <v>217</v>
      </c>
    </row>
    <row r="14" spans="1:2" ht="60" customHeight="1">
      <c r="A14" s="2" t="s">
        <v>218</v>
      </c>
      <c r="B14" s="23" t="s">
        <v>219</v>
      </c>
    </row>
    <row r="15" spans="1:2" ht="60" customHeight="1">
      <c r="A15" s="2" t="s">
        <v>220</v>
      </c>
      <c r="B15" s="23" t="s">
        <v>221</v>
      </c>
    </row>
    <row r="16" spans="1:2" ht="60" customHeight="1">
      <c r="A16" s="2" t="s">
        <v>222</v>
      </c>
      <c r="B16" s="23" t="s">
        <v>223</v>
      </c>
    </row>
    <row r="17" spans="1:2" ht="60" customHeight="1">
      <c r="A17" s="2" t="s">
        <v>224</v>
      </c>
      <c r="B17" s="23" t="s">
        <v>225</v>
      </c>
    </row>
    <row r="18" spans="1:2" ht="60" customHeight="1">
      <c r="A18" s="2" t="s">
        <v>226</v>
      </c>
      <c r="B18" s="23" t="s">
        <v>227</v>
      </c>
    </row>
    <row r="19" spans="1:2" ht="60" customHeight="1">
      <c r="A19" s="2" t="s">
        <v>228</v>
      </c>
      <c r="B19" s="23" t="s">
        <v>229</v>
      </c>
    </row>
    <row r="20" spans="1:2" ht="60" customHeight="1">
      <c r="A20" s="2" t="s">
        <v>230</v>
      </c>
      <c r="B20" s="23" t="s">
        <v>231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9</vt:i4>
      </vt:variant>
    </vt:vector>
  </HeadingPairs>
  <TitlesOfParts>
    <vt:vector size="17" baseType="lpstr">
      <vt:lpstr>README</vt:lpstr>
      <vt:lpstr>Inputs</vt:lpstr>
      <vt:lpstr>Cost-Per-Task</vt:lpstr>
      <vt:lpstr>Margin-Analysis</vt:lpstr>
      <vt:lpstr>Sensitivity</vt:lpstr>
      <vt:lpstr>Stress-Test</vt:lpstr>
      <vt:lpstr>Dashboard</vt:lpstr>
      <vt:lpstr>Africa-Notes</vt:lpstr>
      <vt:lpstr>AGT_GM_Target_Ent</vt:lpstr>
      <vt:lpstr>AGT_Markup_Ent</vt:lpstr>
      <vt:lpstr>AGT_TasksPM_Ent</vt:lpstr>
      <vt:lpstr>AGT_Tenants_Ent</vt:lpstr>
      <vt:lpstr>Branch_Avg</vt:lpstr>
      <vt:lpstr>FX_KES_A</vt:lpstr>
      <vt:lpstr>FX_NGN_A</vt:lpstr>
      <vt:lpstr>FX_UGX_A</vt:lpstr>
      <vt:lpstr>Retry_Avg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2026-05-11T14:17:20Z</dcterms:created>
  <dcterms:modified xsi:type="dcterms:W3CDTF">2026-05-11T14:17:20Z</dcterms:modified>
</cp:coreProperties>
</file>