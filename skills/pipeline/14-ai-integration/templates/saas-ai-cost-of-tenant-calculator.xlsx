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Inputs" sheetId="2" r:id="rId2"/>
    <sheet name="Cost-Per-Tenant" sheetId="3" r:id="rId3"/>
    <sheet name="Margin-Analysis" sheetId="4" r:id="rId4"/>
    <sheet name="Sensitivity" sheetId="5" r:id="rId5"/>
    <sheet name="Stress-Test" sheetId="6" r:id="rId6"/>
    <sheet name="Dashboard" sheetId="7" r:id="rId7"/>
    <sheet name="Africa-Notes" sheetId="8" r:id="rId8"/>
  </sheets>
  <definedNames>
    <definedName name="Days_PM">Inputs!$B$25</definedName>
    <definedName name="FX_AI">Inputs!$B$23</definedName>
    <definedName name="Markup">Inputs!$B$22</definedName>
  </definedNames>
  <calcPr calcId="124519" fullCalcOnLoad="1"/>
</workbook>
</file>

<file path=xl/sharedStrings.xml><?xml version="1.0" encoding="utf-8"?>
<sst xmlns="http://schemas.openxmlformats.org/spreadsheetml/2006/main" count="175" uniqueCount="162">
  <si>
    <t>SaaS AI Cost-of-Tenant Calculator</t>
  </si>
  <si>
    <t>Purpose</t>
  </si>
  <si>
    <t>Per-tenant AI cost engine for SaaS with LLM-backed features. Models token cost (input + output × model price), eval overhead, retraining amortisation, vector-store cost, RAG retrieval, and observability — across Free / Pro / Enterprise tiers. Produces AI gross margin per tier, % of customers above the cost ceiling, and a stress-test waterfall for token-inflation and usage-shock scenarios.</t>
  </si>
  <si>
    <t>Sheets in this workbook</t>
  </si>
  <si>
    <t>Inputs</t>
  </si>
  <si>
    <t>Tenants by tier, users/tenant, prompts/day, tokens, model selection, fixed costs, markup, FX.</t>
  </si>
  <si>
    <t>Cost-Per-Tenant</t>
  </si>
  <si>
    <t>Monthly per-tenant cost formula by tier.</t>
  </si>
  <si>
    <t>Margin-Analysis</t>
  </si>
  <si>
    <t>Tier price vs AI cost → AI GM per tier, contribution margin with S&amp;M attribution.</t>
  </si>
  <si>
    <t>Sensitivity</t>
  </si>
  <si>
    <t>2-D tables: tokens-per-prompt × $/1k input;  prompts/day × users/tenant.</t>
  </si>
  <si>
    <t>Stress-Test</t>
  </si>
  <si>
    <t>Waterfall: +50/+100/+200% tokens; 2× usage; retraining 2×; eval 2×; model deprecation.</t>
  </si>
  <si>
    <t>Dashboard</t>
  </si>
  <si>
    <t>Cost per tier; AI GM per tier; % customers above cost ceiling; charts.</t>
  </si>
  <si>
    <t>Africa-Notes</t>
  </si>
  <si>
    <t>USD AI pricing, FX hedging, local-LLM fallback, usage caps.</t>
  </si>
  <si>
    <t>Owner</t>
  </si>
  <si>
    <t>Head of AI / CFO joint ownership</t>
  </si>
  <si>
    <t>Update cadence</t>
  </si>
  <si>
    <t>Monthly when LLM provider pricing changes; quarterly for usage assumptions; before each pricing/packaging change.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</si>
  <si>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</si>
  <si>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</si>
  <si>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</si>
  <si>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ai-economics-framework.md (this engine); OpenAI/Anthropic/Together public pricing; tracker.ai_economics; Cotton (Run a SaaS Business) Rule of 3-and-10 cost-margin discipline.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</si>
  <si>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</si>
  <si>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</si>
  <si>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Inputs — AI Cost-of-Tenant</t>
  </si>
  <si>
    <t>Yellow = input. White = formula. Three tiers: Free, Pro, Enterprise.</t>
  </si>
  <si>
    <t>1. Tenant Mix</t>
  </si>
  <si>
    <t>Free</t>
  </si>
  <si>
    <t>Pro</t>
  </si>
  <si>
    <t>Enterprise</t>
  </si>
  <si>
    <t>Notes</t>
  </si>
  <si>
    <t>Tenants (count)</t>
  </si>
  <si>
    <t>Active customer count by tier.</t>
  </si>
  <si>
    <t>Users per tenant</t>
  </si>
  <si>
    <t>Number of seats per tenant.</t>
  </si>
  <si>
    <t>Prompts per user per day</t>
  </si>
  <si>
    <t>Daily AI prompt volume per active user.</t>
  </si>
  <si>
    <t>Input tokens per prompt</t>
  </si>
  <si>
    <t>Avg input length (prompt + RAG context + chat history).</t>
  </si>
  <si>
    <t>Output tokens per prompt</t>
  </si>
  <si>
    <t>Avg generation length.</t>
  </si>
  <si>
    <t>$ per 1k input tokens</t>
  </si>
  <si>
    <t>Free=Llama-class; Pro=GPT-4o-mini-class; Ent=GPT-4o/Claude-Sonnet-class.</t>
  </si>
  <si>
    <t>$ per 1k output tokens</t>
  </si>
  <si>
    <t>Output-tier USD pricing.</t>
  </si>
  <si>
    <t>Eval / guardrails overhead %</t>
  </si>
  <si>
    <t>% of token cost spent on evals (re-runs, judge models).</t>
  </si>
  <si>
    <t>Retraining $/month per tenant</t>
  </si>
  <si>
    <t>Amortised fine-tune / embed-refresh cost.</t>
  </si>
  <si>
    <t>Vector store $/month per tenant</t>
  </si>
  <si>
    <t>Pinecone / Qdrant / Weaviate / pgvector.</t>
  </si>
  <si>
    <t>RAG retrieval $/query</t>
  </si>
  <si>
    <t>Vector search + reranker pass.</t>
  </si>
  <si>
    <t>Observability $/call</t>
  </si>
  <si>
    <t>Langfuse / Helicone / Phoenix logging.</t>
  </si>
  <si>
    <t>Tier MRR price ($)</t>
  </si>
  <si>
    <t>Subscription price per tenant per month.</t>
  </si>
  <si>
    <t>S&amp;M attribution % of price</t>
  </si>
  <si>
    <t>% of monthly price absorbed by S&amp;M (CAC payback).</t>
  </si>
  <si>
    <t>Other COGS % of price</t>
  </si>
  <si>
    <t>Non-AI COGS (hosting, support, rails).</t>
  </si>
  <si>
    <t>2. Pricing Markup &amp; FX</t>
  </si>
  <si>
    <t>Internal markup (cost-ceiling tolerance % of price)</t>
  </si>
  <si>
    <t>If AI cost &gt; markup × price, flag tenant as above ceiling.</t>
  </si>
  <si>
    <t>FX rate (local per USD)</t>
  </si>
  <si>
    <t>Reporting currency</t>
  </si>
  <si>
    <t>UGX</t>
  </si>
  <si>
    <t>Days per month for prompt count</t>
  </si>
  <si>
    <t>Working days; reduce for B2C consumer or weekend-heavy workloads.</t>
  </si>
  <si>
    <t>Cost Per Tenant (USD / month)</t>
  </si>
  <si>
    <t>Formula breakdown by tier — every component pulled from Inputs.</t>
  </si>
  <si>
    <t>Component</t>
  </si>
  <si>
    <t>Formula</t>
  </si>
  <si>
    <t>Token cost (input)</t>
  </si>
  <si>
    <t>Tier formula derived from Inputs row × users × prompts × Days_PM, plus fixed-cost rows.</t>
  </si>
  <si>
    <t>Token cost (output)</t>
  </si>
  <si>
    <t>Eval / guardrails</t>
  </si>
  <si>
    <t>Retraining (amortised)</t>
  </si>
  <si>
    <t>Vector store (fixed/tenant)</t>
  </si>
  <si>
    <t>RAG retrieval</t>
  </si>
  <si>
    <t>Observability</t>
  </si>
  <si>
    <t>TOTAL AI cost per tenant / month</t>
  </si>
  <si>
    <t>× Tenants in tier</t>
  </si>
  <si>
    <t>Total tier AI cost / month</t>
  </si>
  <si>
    <t>Total AI cost / year</t>
  </si>
  <si>
    <t>GRAND TOTAL AI cost / year (all tiers)</t>
  </si>
  <si>
    <t>AI Margin Analysis — by Tier</t>
  </si>
  <si>
    <t>Line</t>
  </si>
  <si>
    <t>Tier price ($/month)</t>
  </si>
  <si>
    <t>AI cost per tenant ($/month)</t>
  </si>
  <si>
    <t>AI GM $</t>
  </si>
  <si>
    <t>AI GM %</t>
  </si>
  <si>
    <t>S&amp;M attribution $</t>
  </si>
  <si>
    <t>Other COGS $</t>
  </si>
  <si>
    <t>Contribution margin $</t>
  </si>
  <si>
    <t>Contribution margin %</t>
  </si>
  <si>
    <t>Cost ceiling $ (Markup × price)</t>
  </si>
  <si>
    <t>Above ceiling? (AI cost &gt; ceiling)</t>
  </si>
  <si>
    <t>Sensitivity — tokens-per-prompt × $/1k (Enterprise tier)</t>
  </si>
  <si>
    <t>Reading: Enterprise cost/tenant/mo @ varied tokens &amp; price.</t>
  </si>
  <si>
    <t>Tokens/prompt ↓  $/1k →</t>
  </si>
  <si>
    <t>Sensitivity — prompts/day × users/tenant (Pro tier, holding tokens fixed)</t>
  </si>
  <si>
    <t>Prompts/day ↓  Users/tenant →</t>
  </si>
  <si>
    <t>Stress-Test Waterfall — Enterprise Tier</t>
  </si>
  <si>
    <t>Scenario</t>
  </si>
  <si>
    <t>AI cost / tenant</t>
  </si>
  <si>
    <t>Above ceiling?</t>
  </si>
  <si>
    <t>Cost Δ vs base</t>
  </si>
  <si>
    <t>Baseline</t>
  </si>
  <si>
    <t>Tokens +50%</t>
  </si>
  <si>
    <t>Tokens +100%</t>
  </si>
  <si>
    <t>Tokens +200%</t>
  </si>
  <si>
    <t>Usage 2× (more prompts)</t>
  </si>
  <si>
    <t>Retraining 2×</t>
  </si>
  <si>
    <t>Eval 2×</t>
  </si>
  <si>
    <t>Model deprecation (price 1.5×)</t>
  </si>
  <si>
    <t>Dashboard — AI Cost-of-Tenant</t>
  </si>
  <si>
    <t>Free AI cost/tenant/mo</t>
  </si>
  <si>
    <t>Pro AI cost/tenant/mo</t>
  </si>
  <si>
    <t>Enterprise AI cost/tenant/mo</t>
  </si>
  <si>
    <t>Free AI GM %</t>
  </si>
  <si>
    <t>Pro AI GM %</t>
  </si>
  <si>
    <t>Enterprise AI GM %</t>
  </si>
  <si>
    <t>Pro contribution margin %</t>
  </si>
  <si>
    <t>Enterprise contribution margin %</t>
  </si>
  <si>
    <t>Grand total AI cost / year (USD)</t>
  </si>
  <si>
    <t>Grand total AI cost / year (local)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</si>
  <si>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</si>
  <si>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</si>
  <si>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</si>
  <si>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</si>
  <si>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</si>
  <si>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</si>
  <si>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</si>
  <si>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</si>
  <si>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</si>
  <si>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</si>
  <si>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</si>
  <si>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</si>
  <si>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</si>
  <si>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</si>
  <si>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</si>
  <si>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</si>
  <si>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</si>
  <si>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</si>
  <si>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</si>
  <si>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</si>
  <si>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</si>
  <si>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</si>
  <si>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</si>
  <si>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USD-Indexed AI Tier</t>
  </si>
  <si>
    <t>Because LLM pricing is USD-denominated, an FX shock instantly compresses AI margin on local-currency-priced tiers. Recommended hedge: price the Enterprise tier in USD (route via local entity or offshore SPV for invoicing) so that AI cost and price are in the same currency.</t>
  </si>
  <si>
    <t>Local-LLM Fallback</t>
  </si>
  <si>
    <t>For African deployments with FX volatility, configure a fallback to Llama-class on Bedrock / Together / Groq with local-currency hosting. Quality is ~80–90% on most enterprise tasks; cost is 3–10× lower; FX exposure is reduced because many local providers offer regional pricing.</t>
  </si>
  <si>
    <t>Usage Caps</t>
  </si>
  <si>
    <t>Implement per-tenant token caps and prompt throttling. Defaults to consider: Free 100k tokens/mo, Pro 2M tokens/mo, Enterprise unlimited with rate-limit. Caps protect AI margin from runaway-usage by power users.</t>
  </si>
  <si>
    <t>Model-Deprecation Risk</t>
  </si>
  <si>
    <t>Major-version model deprecations (GPT-3.5 → GPT-4 → GPT-4o → GPT-5) move pricing 30–100%. Maintain a 3-month price-tracker; the Stress-Test sheet's 'Model deprecation' row simulates a 1.5× price step.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</si>
</sst>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$#,##0.00"/>
    <numFmt numFmtId="166" formatCode="0.0%"/>
    <numFmt numFmtId="167" formatCode="#,##0.00"/>
    <numFmt numFmtId="168" formatCode="$#,##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4" borderId="2" xfId="0" applyFont="1" applyFill="1" applyBorder="1" applyAlignment="1">
      <alignment horizontal="center" vertical="center" wrapText="1"/>
    </xf>
    <xf numFmtId="164" fontId="0" fillId="5" borderId="3" xfId="0" applyNumberFormat="1" applyFill="1" applyBorder="1" applyProtection="1">
      <protection locked="0"/>
    </xf>
    <xf numFmtId="165" fontId="0" fillId="5" borderId="3" xfId="0" applyNumberFormat="1" applyFill="1" applyBorder="1" applyProtection="1">
      <protection locked="0"/>
    </xf>
    <xf numFmtId="166" fontId="0" fillId="5" borderId="3" xfId="0" applyNumberFormat="1" applyFill="1" applyBorder="1" applyProtection="1">
      <protection locked="0"/>
    </xf>
    <xf numFmtId="167" fontId="0" fillId="5" borderId="3" xfId="0" applyNumberFormat="1" applyFill="1" applyBorder="1" applyProtection="1">
      <protection locked="0"/>
    </xf>
    <xf numFmtId="0" fontId="0" fillId="5" borderId="3" xfId="0" applyFill="1" applyBorder="1" applyProtection="1">
      <protection locked="0"/>
    </xf>
    <xf numFmtId="165" fontId="0" fillId="6" borderId="3" xfId="0" applyNumberFormat="1" applyFill="1" applyBorder="1"/>
    <xf numFmtId="168" fontId="2" fillId="7" borderId="2" xfId="0" applyNumberFormat="1" applyFont="1" applyFill="1" applyBorder="1"/>
    <xf numFmtId="164" fontId="0" fillId="6" borderId="3" xfId="0" applyNumberFormat="1" applyFill="1" applyBorder="1"/>
    <xf numFmtId="168" fontId="0" fillId="6" borderId="3" xfId="0" applyNumberFormat="1" applyFill="1" applyBorder="1"/>
    <xf numFmtId="166" fontId="0" fillId="6" borderId="3" xfId="0" applyNumberFormat="1" applyFill="1" applyBorder="1"/>
    <xf numFmtId="166" fontId="2" fillId="7" borderId="2" xfId="0" applyNumberFormat="1" applyFont="1" applyFill="1" applyBorder="1"/>
    <xf numFmtId="167" fontId="0" fillId="6" borderId="3" xfId="0" applyNumberFormat="1" applyFill="1" applyBorder="1"/>
    <xf numFmtId="0" fontId="6" fillId="2" borderId="2" xfId="0" applyFont="1" applyFill="1" applyBorder="1" applyAlignment="1">
      <alignment horizontal="left" vertical="center"/>
    </xf>
    <xf numFmtId="168" fontId="7" fillId="6" borderId="2" xfId="0" applyNumberFormat="1" applyFont="1" applyFill="1" applyBorder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167" fontId="7" fillId="6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AI Cost per Tenant by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 / tenant</c:v>
          </c:tx>
          <c:spPr>
            <a:solidFill>
              <a:srgbClr val="1F3864"/>
            </a:solidFill>
          </c:spPr>
          <c:cat>
            <c:strRef>
              <c:f>'Cost-Per-Tenant'!$B$3:$D$3</c:f>
              <c:strCache>
                <c:ptCount val="3"/>
                <c:pt idx="0">
                  <c:v>Free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'Cost-Per-Tenant'!$B$11:$D$11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/ month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AI Gross Margin % by Tier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AI GM %</c:v>
          </c:tx>
          <c:spPr>
            <a:solidFill>
              <a:srgbClr val="2E75B6"/>
            </a:solidFill>
          </c:spPr>
          <c:cat>
            <c:strRef>
              <c:f>'Margin-Analysis'!$B$3:$D$3</c:f>
              <c:strCache>
                <c:ptCount val="3"/>
                <c:pt idx="0">
                  <c:v>Free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'Margin-Analysis'!$B$7:$D$7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Stress-Test — Enterprise AI Cost / Tenant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Enterprise cost/tenant</c:v>
          </c:tx>
          <c:spPr>
            <a:solidFill>
              <a:srgbClr val="C65911"/>
            </a:solidFill>
          </c:spPr>
          <c:cat>
            <c:strRef>
              <c:f>'Stress-Test'!$A$4:$A$11</c:f>
              <c:strCache>
                <c:ptCount val="8"/>
                <c:pt idx="0">
                  <c:v>Baseline</c:v>
                </c:pt>
                <c:pt idx="1">
                  <c:v>Tokens +50%</c:v>
                </c:pt>
                <c:pt idx="2">
                  <c:v>Tokens +100%</c:v>
                </c:pt>
                <c:pt idx="3">
                  <c:v>Tokens +200%</c:v>
                </c:pt>
                <c:pt idx="4">
                  <c:v>Usage 2× (more prompts)</c:v>
                </c:pt>
                <c:pt idx="5">
                  <c:v>Retraining 2×</c:v>
                </c:pt>
                <c:pt idx="6">
                  <c:v>Eval 2×</c:v>
                </c:pt>
                <c:pt idx="7">
                  <c:v>Model deprecation (price 1.5×)</c:v>
                </c:pt>
              </c:strCache>
            </c:strRef>
          </c:cat>
          <c:val>
            <c:numRef>
              <c:f>'Stress-Test'!$B$4:$B$11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12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14</xdr:col>
      <xdr:colOff>457200</xdr:colOff>
      <xdr:row>54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0" spans="1:2">
      <c r="A10" s="2" t="s">
        <v>12</v>
      </c>
      <c r="B10" s="3" t="s">
        <v>13</v>
      </c>
    </row>
    <row r="11" spans="1:2">
      <c r="A11" s="2" t="s">
        <v>14</v>
      </c>
      <c r="B11" s="3" t="s">
        <v>15</v>
      </c>
    </row>
    <row r="12" spans="1:2">
      <c r="A12" s="2" t="s">
        <v>16</v>
      </c>
      <c r="B12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9" spans="1:2">
      <c r="A19" s="2" t="s">
        <v>26</v>
      </c>
      <c r="B19" s="3" t="s">
        <v>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44.7109375" customWidth="1"/>
    <col min="2" max="5" width="14.7109375" customWidth="1"/>
    <col min="6" max="6" width="56.7109375" customWidth="1"/>
  </cols>
  <sheetData>
    <row r="1" spans="1:6" ht="28" customHeight="1">
      <c r="A1" s="1" t="s">
        <v>28</v>
      </c>
      <c r="B1" s="1"/>
      <c r="C1" s="1"/>
      <c r="D1" s="1"/>
      <c r="E1" s="1"/>
      <c r="F1" s="1"/>
    </row>
    <row r="2" spans="1:6">
      <c r="A2" s="5" t="s">
        <v>29</v>
      </c>
    </row>
    <row r="4" spans="1:6">
      <c r="A4" s="4" t="s">
        <v>30</v>
      </c>
      <c r="B4" s="4"/>
      <c r="C4" s="4"/>
      <c r="D4" s="4"/>
      <c r="E4" s="4"/>
      <c r="F4" s="4"/>
    </row>
    <row r="5" spans="1:6">
      <c r="A5" s="2"/>
      <c r="B5" s="6" t="s">
        <v>31</v>
      </c>
      <c r="C5" s="6" t="s">
        <v>32</v>
      </c>
      <c r="D5" s="6" t="s">
        <v>33</v>
      </c>
      <c r="F5" s="6" t="s">
        <v>34</v>
      </c>
    </row>
    <row r="6" spans="1:6">
      <c r="A6" s="2" t="s">
        <v>35</v>
      </c>
      <c r="B6" s="7">
        <v>500</v>
      </c>
      <c r="C6" s="7">
        <v>200</v>
      </c>
      <c r="D6" s="7">
        <v>50</v>
      </c>
      <c r="F6" s="3" t="s">
        <v>36</v>
      </c>
    </row>
    <row r="7" spans="1:6">
      <c r="A7" s="2" t="s">
        <v>37</v>
      </c>
      <c r="B7" s="7">
        <v>3</v>
      </c>
      <c r="C7" s="7">
        <v>8</v>
      </c>
      <c r="D7" s="7">
        <v>25</v>
      </c>
      <c r="F7" s="3" t="s">
        <v>38</v>
      </c>
    </row>
    <row r="8" spans="1:6">
      <c r="A8" s="2" t="s">
        <v>39</v>
      </c>
      <c r="B8" s="7">
        <v>5</v>
      </c>
      <c r="C8" s="7">
        <v>15</v>
      </c>
      <c r="D8" s="7">
        <v>30</v>
      </c>
      <c r="F8" s="3" t="s">
        <v>40</v>
      </c>
    </row>
    <row r="9" spans="1:6">
      <c r="A9" s="2" t="s">
        <v>41</v>
      </c>
      <c r="B9" s="7">
        <v>400</v>
      </c>
      <c r="C9" s="7">
        <v>800</v>
      </c>
      <c r="D9" s="7">
        <v>2000</v>
      </c>
      <c r="F9" s="3" t="s">
        <v>42</v>
      </c>
    </row>
    <row r="10" spans="1:6">
      <c r="A10" s="2" t="s">
        <v>43</v>
      </c>
      <c r="B10" s="7">
        <v>200</v>
      </c>
      <c r="C10" s="7">
        <v>500</v>
      </c>
      <c r="D10" s="7">
        <v>1200</v>
      </c>
      <c r="F10" s="3" t="s">
        <v>44</v>
      </c>
    </row>
    <row r="11" spans="1:6">
      <c r="A11" s="2" t="s">
        <v>45</v>
      </c>
      <c r="B11" s="8">
        <v>0.0001</v>
      </c>
      <c r="C11" s="8">
        <v>0.00015</v>
      </c>
      <c r="D11" s="8">
        <v>0.0025</v>
      </c>
      <c r="F11" s="3" t="s">
        <v>46</v>
      </c>
    </row>
    <row r="12" spans="1:6">
      <c r="A12" s="2" t="s">
        <v>47</v>
      </c>
      <c r="B12" s="8">
        <v>0.0002</v>
      </c>
      <c r="C12" s="8">
        <v>0.0005999999999999999</v>
      </c>
      <c r="D12" s="8">
        <v>0.01</v>
      </c>
      <c r="F12" s="3" t="s">
        <v>48</v>
      </c>
    </row>
    <row r="13" spans="1:6">
      <c r="A13" s="2" t="s">
        <v>49</v>
      </c>
      <c r="B13" s="9">
        <v>0.1</v>
      </c>
      <c r="C13" s="9">
        <v>0.1</v>
      </c>
      <c r="D13" s="9">
        <v>0.15</v>
      </c>
      <c r="F13" s="3" t="s">
        <v>50</v>
      </c>
    </row>
    <row r="14" spans="1:6">
      <c r="A14" s="2" t="s">
        <v>51</v>
      </c>
      <c r="B14" s="8">
        <v>0</v>
      </c>
      <c r="C14" s="8">
        <v>1</v>
      </c>
      <c r="D14" s="8">
        <v>8</v>
      </c>
      <c r="F14" s="3" t="s">
        <v>52</v>
      </c>
    </row>
    <row r="15" spans="1:6">
      <c r="A15" s="2" t="s">
        <v>53</v>
      </c>
      <c r="B15" s="8">
        <v>0</v>
      </c>
      <c r="C15" s="8">
        <v>2</v>
      </c>
      <c r="D15" s="8">
        <v>15</v>
      </c>
      <c r="F15" s="3" t="s">
        <v>54</v>
      </c>
    </row>
    <row r="16" spans="1:6">
      <c r="A16" s="2" t="s">
        <v>55</v>
      </c>
      <c r="B16" s="8">
        <v>0</v>
      </c>
      <c r="C16" s="8">
        <v>0.0001</v>
      </c>
      <c r="D16" s="8">
        <v>0.0003</v>
      </c>
      <c r="F16" s="3" t="s">
        <v>56</v>
      </c>
    </row>
    <row r="17" spans="1:6">
      <c r="A17" s="2" t="s">
        <v>57</v>
      </c>
      <c r="B17" s="8">
        <v>0</v>
      </c>
      <c r="C17" s="8">
        <v>5E-05</v>
      </c>
      <c r="D17" s="8">
        <v>0.0002</v>
      </c>
      <c r="F17" s="3" t="s">
        <v>58</v>
      </c>
    </row>
    <row r="18" spans="1:6">
      <c r="A18" s="2" t="s">
        <v>59</v>
      </c>
      <c r="B18" s="8">
        <v>0</v>
      </c>
      <c r="C18" s="8">
        <v>79</v>
      </c>
      <c r="D18" s="8">
        <v>499</v>
      </c>
      <c r="F18" s="3" t="s">
        <v>60</v>
      </c>
    </row>
    <row r="19" spans="1:6">
      <c r="A19" s="2" t="s">
        <v>61</v>
      </c>
      <c r="B19" s="9">
        <v>0</v>
      </c>
      <c r="C19" s="9">
        <v>0.25</v>
      </c>
      <c r="D19" s="9">
        <v>0.15</v>
      </c>
      <c r="F19" s="3" t="s">
        <v>62</v>
      </c>
    </row>
    <row r="20" spans="1:6">
      <c r="A20" s="2" t="s">
        <v>63</v>
      </c>
      <c r="B20" s="9">
        <v>0</v>
      </c>
      <c r="C20" s="9">
        <v>0.2</v>
      </c>
      <c r="D20" s="9">
        <v>0.15</v>
      </c>
      <c r="F20" s="3" t="s">
        <v>64</v>
      </c>
    </row>
    <row r="21" spans="1:6">
      <c r="A21" s="4" t="s">
        <v>65</v>
      </c>
      <c r="B21" s="4"/>
      <c r="C21" s="4"/>
      <c r="D21" s="4"/>
      <c r="E21" s="4"/>
      <c r="F21" s="4"/>
    </row>
    <row r="22" spans="1:6">
      <c r="A22" s="2" t="s">
        <v>66</v>
      </c>
      <c r="B22" s="9">
        <v>0.3</v>
      </c>
      <c r="F22" s="3" t="s">
        <v>67</v>
      </c>
    </row>
    <row r="23" spans="1:6">
      <c r="A23" s="2" t="s">
        <v>68</v>
      </c>
      <c r="B23" s="10">
        <v>3800</v>
      </c>
    </row>
    <row r="24" spans="1:6">
      <c r="A24" s="2" t="s">
        <v>69</v>
      </c>
      <c r="B24" s="11" t="s">
        <v>70</v>
      </c>
    </row>
    <row r="25" spans="1:6">
      <c r="A25" s="2" t="s">
        <v>71</v>
      </c>
      <c r="B25" s="7">
        <v>22</v>
      </c>
      <c r="F25" s="3" t="s">
        <v>72</v>
      </c>
    </row>
  </sheetData>
  <mergeCells count="3">
    <mergeCell ref="A1:F1"/>
    <mergeCell ref="A4:F4"/>
    <mergeCell ref="A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44.7109375" customWidth="1"/>
    <col min="2" max="4" width="14.7109375" customWidth="1"/>
    <col min="6" max="6" width="60.7109375" customWidth="1"/>
  </cols>
  <sheetData>
    <row r="1" spans="1:6" ht="28" customHeight="1">
      <c r="A1" s="1" t="s">
        <v>73</v>
      </c>
      <c r="B1" s="1"/>
      <c r="C1" s="1"/>
      <c r="D1" s="1"/>
      <c r="E1" s="1"/>
      <c r="F1" s="1"/>
    </row>
    <row r="2" spans="1:6">
      <c r="A2" s="5" t="s">
        <v>74</v>
      </c>
    </row>
    <row r="3" spans="1:6">
      <c r="A3" s="6" t="s">
        <v>75</v>
      </c>
      <c r="B3" s="6" t="s">
        <v>31</v>
      </c>
      <c r="C3" s="6" t="s">
        <v>32</v>
      </c>
      <c r="D3" s="6" t="s">
        <v>33</v>
      </c>
      <c r="F3" s="6" t="s">
        <v>76</v>
      </c>
    </row>
    <row r="4" spans="1:6">
      <c r="A4" s="2" t="s">
        <v>77</v>
      </c>
      <c r="B4" s="12">
        <f>(Inputs!B7*Inputs!B8*Days_PM*Inputs!B9*Inputs!B11)/1000</f>
        <v>0</v>
      </c>
      <c r="C4" s="12">
        <f>(Inputs!C7*Inputs!C8*Days_PM*Inputs!C9*Inputs!C11)/1000</f>
        <v>0</v>
      </c>
      <c r="D4" s="12">
        <f>(Inputs!D7*Inputs!D8*Days_PM*Inputs!D9*Inputs!D11)/1000</f>
        <v>0</v>
      </c>
      <c r="F4" s="3" t="s">
        <v>78</v>
      </c>
    </row>
    <row r="5" spans="1:6">
      <c r="A5" s="2" t="s">
        <v>79</v>
      </c>
      <c r="B5" s="12">
        <f>(Inputs!B7*Inputs!B8*Days_PM*Inputs!B10*Inputs!B12)/1000</f>
        <v>0</v>
      </c>
      <c r="C5" s="12">
        <f>(Inputs!C7*Inputs!C8*Days_PM*Inputs!C10*Inputs!C12)/1000</f>
        <v>0</v>
      </c>
      <c r="D5" s="12">
        <f>(Inputs!D7*Inputs!D8*Days_PM*Inputs!D10*Inputs!D12)/1000</f>
        <v>0</v>
      </c>
      <c r="F5" s="3" t="s">
        <v>78</v>
      </c>
    </row>
    <row r="6" spans="1:6">
      <c r="A6" s="2" t="s">
        <v>80</v>
      </c>
      <c r="B6" s="12">
        <f>(Inputs!B7*Inputs!B8*Days_PM*(Inputs!B9*Inputs!B11+Inputs!B10*Inputs!B12)/1000)*Inputs!B13</f>
        <v>0</v>
      </c>
      <c r="C6" s="12">
        <f>(Inputs!C7*Inputs!C8*Days_PM*(Inputs!C9*Inputs!C11+Inputs!C10*Inputs!C12)/1000)*Inputs!C13</f>
        <v>0</v>
      </c>
      <c r="D6" s="12">
        <f>(Inputs!D7*Inputs!D8*Days_PM*(Inputs!D9*Inputs!D11+Inputs!D10*Inputs!D12)/1000)*Inputs!D13</f>
        <v>0</v>
      </c>
      <c r="F6" s="3" t="s">
        <v>78</v>
      </c>
    </row>
    <row r="7" spans="1:6">
      <c r="A7" s="2" t="s">
        <v>81</v>
      </c>
      <c r="B7" s="12">
        <f>Inputs!B14</f>
        <v>0</v>
      </c>
      <c r="C7" s="12">
        <f>Inputs!C14</f>
        <v>0</v>
      </c>
      <c r="D7" s="12">
        <f>Inputs!D14</f>
        <v>0</v>
      </c>
      <c r="F7" s="3" t="s">
        <v>78</v>
      </c>
    </row>
    <row r="8" spans="1:6">
      <c r="A8" s="2" t="s">
        <v>82</v>
      </c>
      <c r="B8" s="12">
        <f>Inputs!B15</f>
        <v>0</v>
      </c>
      <c r="C8" s="12">
        <f>Inputs!C15</f>
        <v>0</v>
      </c>
      <c r="D8" s="12">
        <f>Inputs!D15</f>
        <v>0</v>
      </c>
      <c r="F8" s="3" t="s">
        <v>78</v>
      </c>
    </row>
    <row r="9" spans="1:6">
      <c r="A9" s="2" t="s">
        <v>83</v>
      </c>
      <c r="B9" s="12">
        <f>Inputs!B7*Inputs!B8*Days_PM*Inputs!B16</f>
        <v>0</v>
      </c>
      <c r="C9" s="12">
        <f>Inputs!C7*Inputs!C8*Days_PM*Inputs!C16</f>
        <v>0</v>
      </c>
      <c r="D9" s="12">
        <f>Inputs!D7*Inputs!D8*Days_PM*Inputs!D16</f>
        <v>0</v>
      </c>
      <c r="F9" s="3" t="s">
        <v>78</v>
      </c>
    </row>
    <row r="10" spans="1:6">
      <c r="A10" s="2" t="s">
        <v>84</v>
      </c>
      <c r="B10" s="12">
        <f>Inputs!B7*Inputs!B8*Days_PM*Inputs!B17</f>
        <v>0</v>
      </c>
      <c r="C10" s="12">
        <f>Inputs!C7*Inputs!C8*Days_PM*Inputs!C17</f>
        <v>0</v>
      </c>
      <c r="D10" s="12">
        <f>Inputs!D7*Inputs!D8*Days_PM*Inputs!D17</f>
        <v>0</v>
      </c>
      <c r="F10" s="3" t="s">
        <v>78</v>
      </c>
    </row>
    <row r="11" spans="1:6">
      <c r="A11" s="2" t="s">
        <v>85</v>
      </c>
      <c r="B11" s="13">
        <f>SUM(B4:B10)</f>
        <v>0</v>
      </c>
      <c r="C11" s="13">
        <f>SUM(C4:C10)</f>
        <v>0</v>
      </c>
      <c r="D11" s="13">
        <f>SUM(D4:D10)</f>
        <v>0</v>
      </c>
    </row>
    <row r="12" spans="1:6">
      <c r="A12" s="2" t="s">
        <v>86</v>
      </c>
      <c r="B12" s="14">
        <f>Inputs!B6</f>
        <v>0</v>
      </c>
      <c r="C12" s="14">
        <f>Inputs!C6</f>
        <v>0</v>
      </c>
      <c r="D12" s="14">
        <f>Inputs!D6</f>
        <v>0</v>
      </c>
    </row>
    <row r="13" spans="1:6">
      <c r="A13" s="2" t="s">
        <v>87</v>
      </c>
      <c r="B13" s="13">
        <f>B11*B12</f>
        <v>0</v>
      </c>
      <c r="C13" s="13">
        <f>C11*C12</f>
        <v>0</v>
      </c>
      <c r="D13" s="13">
        <f>D11*D12</f>
        <v>0</v>
      </c>
    </row>
    <row r="14" spans="1:6">
      <c r="A14" s="2" t="s">
        <v>88</v>
      </c>
      <c r="B14" s="15">
        <f>B13*12</f>
        <v>0</v>
      </c>
      <c r="C14" s="15">
        <f>C13*12</f>
        <v>0</v>
      </c>
      <c r="D14" s="15">
        <f>D13*12</f>
        <v>0</v>
      </c>
    </row>
    <row r="15" spans="1:6">
      <c r="A15" s="2" t="s">
        <v>89</v>
      </c>
      <c r="B15" s="13">
        <f>SUM(B14:D14)</f>
        <v>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40.7109375" customWidth="1"/>
    <col min="2" max="4" width="14.7109375" customWidth="1"/>
  </cols>
  <sheetData>
    <row r="1" spans="1:4" ht="28" customHeight="1">
      <c r="A1" s="1" t="s">
        <v>90</v>
      </c>
      <c r="B1" s="1"/>
      <c r="C1" s="1"/>
      <c r="D1" s="1"/>
    </row>
    <row r="3" spans="1:4">
      <c r="A3" s="6" t="s">
        <v>91</v>
      </c>
      <c r="B3" s="6" t="s">
        <v>31</v>
      </c>
      <c r="C3" s="6" t="s">
        <v>32</v>
      </c>
      <c r="D3" s="6" t="s">
        <v>33</v>
      </c>
    </row>
    <row r="4" spans="1:4">
      <c r="A4" s="2" t="s">
        <v>92</v>
      </c>
      <c r="B4" s="15">
        <f>Inputs!B18</f>
        <v>0</v>
      </c>
      <c r="C4" s="15">
        <f>Inputs!C18</f>
        <v>0</v>
      </c>
      <c r="D4" s="15">
        <f>Inputs!D18</f>
        <v>0</v>
      </c>
    </row>
    <row r="5" spans="1:4">
      <c r="A5" s="2" t="s">
        <v>93</v>
      </c>
      <c r="B5" s="12">
        <f>'Cost-Per-Tenant'!B11</f>
        <v>0</v>
      </c>
      <c r="C5" s="12">
        <f>'Cost-Per-Tenant'!C11</f>
        <v>0</v>
      </c>
      <c r="D5" s="12">
        <f>'Cost-Per-Tenant'!D11</f>
        <v>0</v>
      </c>
    </row>
    <row r="6" spans="1:4">
      <c r="A6" s="2" t="s">
        <v>94</v>
      </c>
      <c r="B6" s="12">
        <f>B4-B5</f>
        <v>0</v>
      </c>
      <c r="C6" s="12">
        <f>C4-C5</f>
        <v>0</v>
      </c>
      <c r="D6" s="12">
        <f>D4-D5</f>
        <v>0</v>
      </c>
    </row>
    <row r="7" spans="1:4">
      <c r="A7" s="2" t="s">
        <v>95</v>
      </c>
      <c r="B7" s="16">
        <f>IF(B4&gt;0,(B4-B5)/B4,-1)</f>
        <v>0</v>
      </c>
      <c r="C7" s="16">
        <f>IF(C4&gt;0,(C4-C5)/C4,-1)</f>
        <v>0</v>
      </c>
      <c r="D7" s="16">
        <f>IF(D4&gt;0,(D4-D5)/D4,-1)</f>
        <v>0</v>
      </c>
    </row>
    <row r="8" spans="1:4">
      <c r="A8" s="2" t="s">
        <v>96</v>
      </c>
      <c r="B8" s="12">
        <f>Inputs!B18*Inputs!B19</f>
        <v>0</v>
      </c>
      <c r="C8" s="12">
        <f>Inputs!C18*Inputs!C19</f>
        <v>0</v>
      </c>
      <c r="D8" s="12">
        <f>Inputs!D18*Inputs!D19</f>
        <v>0</v>
      </c>
    </row>
    <row r="9" spans="1:4">
      <c r="A9" s="2" t="s">
        <v>97</v>
      </c>
      <c r="B9" s="12">
        <f>Inputs!B18*Inputs!B20</f>
        <v>0</v>
      </c>
      <c r="C9" s="12">
        <f>Inputs!C18*Inputs!C20</f>
        <v>0</v>
      </c>
      <c r="D9" s="12">
        <f>Inputs!D18*Inputs!D20</f>
        <v>0</v>
      </c>
    </row>
    <row r="10" spans="1:4">
      <c r="A10" s="2" t="s">
        <v>98</v>
      </c>
      <c r="B10" s="13">
        <f>B4-B5-B7-B8</f>
        <v>0</v>
      </c>
      <c r="C10" s="13">
        <f>C4-C5-C7-C8</f>
        <v>0</v>
      </c>
      <c r="D10" s="13">
        <f>D4-D5-D7-D8</f>
        <v>0</v>
      </c>
    </row>
    <row r="11" spans="1:4">
      <c r="A11" s="2" t="s">
        <v>99</v>
      </c>
      <c r="B11" s="17">
        <f>IF(B4&gt;0,(B4-B5-B7-B8)/B4,-1)</f>
        <v>0</v>
      </c>
      <c r="C11" s="17">
        <f>IF(C4&gt;0,(C4-C5-C7-C8)/C4,-1)</f>
        <v>0</v>
      </c>
      <c r="D11" s="17">
        <f>IF(D4&gt;0,(D4-D5-D7-D8)/D4,-1)</f>
        <v>0</v>
      </c>
    </row>
    <row r="12" spans="1:4">
      <c r="A12" s="2" t="s">
        <v>100</v>
      </c>
      <c r="B12" s="12">
        <f>Inputs!B18*Markup</f>
        <v>0</v>
      </c>
      <c r="C12" s="12">
        <f>Inputs!C18*Markup</f>
        <v>0</v>
      </c>
      <c r="D12" s="12">
        <f>Inputs!D18*Markup</f>
        <v>0</v>
      </c>
    </row>
    <row r="13" spans="1:4">
      <c r="A13" s="2" t="s">
        <v>101</v>
      </c>
      <c r="B13" s="18">
        <f>IF(B5&gt;B11,"YES","no")</f>
        <v>0</v>
      </c>
      <c r="C13" s="18">
        <f>IF(C5&gt;C11,"YES","no")</f>
        <v>0</v>
      </c>
      <c r="D13" s="18">
        <f>IF(D5&gt;D11,"YES","no")</f>
        <v>0</v>
      </c>
    </row>
  </sheetData>
  <mergeCells count="1">
    <mergeCell ref="A1:D1"/>
  </mergeCells>
  <conditionalFormatting sqref="B7:D7">
    <cfRule type="cellIs" dxfId="0" priority="1" operator="greaterThanOrEqual">
      <formula>0.7</formula>
    </cfRule>
    <cfRule type="cellIs" dxfId="1" priority="2" operator="between">
      <formula>0.4</formula>
      <formula>0.7</formula>
    </cfRule>
    <cfRule type="cellIs" dxfId="2" priority="3" operator="lessThan">
      <formula>0.4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32.7109375" customWidth="1"/>
    <col min="2" max="8" width="14.7109375" customWidth="1"/>
  </cols>
  <sheetData>
    <row r="1" spans="1:8" ht="28" customHeight="1">
      <c r="A1" s="1" t="s">
        <v>102</v>
      </c>
      <c r="B1" s="1"/>
      <c r="C1" s="1"/>
      <c r="D1" s="1"/>
      <c r="E1" s="1"/>
      <c r="F1" s="1"/>
      <c r="G1" s="1"/>
      <c r="H1" s="1"/>
    </row>
    <row r="3" spans="1:8">
      <c r="A3" s="5" t="s">
        <v>103</v>
      </c>
    </row>
    <row r="5" spans="1:8">
      <c r="A5" s="6" t="s">
        <v>104</v>
      </c>
      <c r="B5" s="6">
        <v>0.001</v>
      </c>
      <c r="C5" s="6">
        <v>0.0025</v>
      </c>
      <c r="D5" s="6">
        <v>0.005</v>
      </c>
      <c r="E5" s="6">
        <v>0.0075</v>
      </c>
      <c r="F5" s="6">
        <v>0.01</v>
      </c>
      <c r="G5" s="6">
        <v>0.015</v>
      </c>
      <c r="H5" s="6">
        <v>0.02</v>
      </c>
    </row>
    <row r="6" spans="1:8">
      <c r="A6" s="2">
        <v>500</v>
      </c>
      <c r="B6" s="12">
        <f>(Inputs!D7*Inputs!D8*Days_PM*500*0.001)/1000</f>
        <v>0</v>
      </c>
      <c r="C6" s="12">
        <f>(Inputs!D7*Inputs!D8*Days_PM*500*0.0025)/1000</f>
        <v>0</v>
      </c>
      <c r="D6" s="12">
        <f>(Inputs!D7*Inputs!D8*Days_PM*500*0.005)/1000</f>
        <v>0</v>
      </c>
      <c r="E6" s="12">
        <f>(Inputs!D7*Inputs!D8*Days_PM*500*0.0075)/1000</f>
        <v>0</v>
      </c>
      <c r="F6" s="12">
        <f>(Inputs!D7*Inputs!D8*Days_PM*500*0.01)/1000</f>
        <v>0</v>
      </c>
      <c r="G6" s="12">
        <f>(Inputs!D7*Inputs!D8*Days_PM*500*0.015)/1000</f>
        <v>0</v>
      </c>
      <c r="H6" s="12">
        <f>(Inputs!D7*Inputs!D8*Days_PM*500*0.02)/1000</f>
        <v>0</v>
      </c>
    </row>
    <row r="7" spans="1:8">
      <c r="A7" s="2">
        <v>1000</v>
      </c>
      <c r="B7" s="12">
        <f>(Inputs!D7*Inputs!D8*Days_PM*1000*0.001)/1000</f>
        <v>0</v>
      </c>
      <c r="C7" s="12">
        <f>(Inputs!D7*Inputs!D8*Days_PM*1000*0.0025)/1000</f>
        <v>0</v>
      </c>
      <c r="D7" s="12">
        <f>(Inputs!D7*Inputs!D8*Days_PM*1000*0.005)/1000</f>
        <v>0</v>
      </c>
      <c r="E7" s="12">
        <f>(Inputs!D7*Inputs!D8*Days_PM*1000*0.0075)/1000</f>
        <v>0</v>
      </c>
      <c r="F7" s="12">
        <f>(Inputs!D7*Inputs!D8*Days_PM*1000*0.01)/1000</f>
        <v>0</v>
      </c>
      <c r="G7" s="12">
        <f>(Inputs!D7*Inputs!D8*Days_PM*1000*0.015)/1000</f>
        <v>0</v>
      </c>
      <c r="H7" s="12">
        <f>(Inputs!D7*Inputs!D8*Days_PM*1000*0.02)/1000</f>
        <v>0</v>
      </c>
    </row>
    <row r="8" spans="1:8">
      <c r="A8" s="2">
        <v>1500</v>
      </c>
      <c r="B8" s="12">
        <f>(Inputs!D7*Inputs!D8*Days_PM*1500*0.001)/1000</f>
        <v>0</v>
      </c>
      <c r="C8" s="12">
        <f>(Inputs!D7*Inputs!D8*Days_PM*1500*0.0025)/1000</f>
        <v>0</v>
      </c>
      <c r="D8" s="12">
        <f>(Inputs!D7*Inputs!D8*Days_PM*1500*0.005)/1000</f>
        <v>0</v>
      </c>
      <c r="E8" s="12">
        <f>(Inputs!D7*Inputs!D8*Days_PM*1500*0.0075)/1000</f>
        <v>0</v>
      </c>
      <c r="F8" s="12">
        <f>(Inputs!D7*Inputs!D8*Days_PM*1500*0.01)/1000</f>
        <v>0</v>
      </c>
      <c r="G8" s="12">
        <f>(Inputs!D7*Inputs!D8*Days_PM*1500*0.015)/1000</f>
        <v>0</v>
      </c>
      <c r="H8" s="12">
        <f>(Inputs!D7*Inputs!D8*Days_PM*1500*0.02)/1000</f>
        <v>0</v>
      </c>
    </row>
    <row r="9" spans="1:8">
      <c r="A9" s="2">
        <v>2000</v>
      </c>
      <c r="B9" s="12">
        <f>(Inputs!D7*Inputs!D8*Days_PM*2000*0.001)/1000</f>
        <v>0</v>
      </c>
      <c r="C9" s="12">
        <f>(Inputs!D7*Inputs!D8*Days_PM*2000*0.0025)/1000</f>
        <v>0</v>
      </c>
      <c r="D9" s="12">
        <f>(Inputs!D7*Inputs!D8*Days_PM*2000*0.005)/1000</f>
        <v>0</v>
      </c>
      <c r="E9" s="12">
        <f>(Inputs!D7*Inputs!D8*Days_PM*2000*0.0075)/1000</f>
        <v>0</v>
      </c>
      <c r="F9" s="12">
        <f>(Inputs!D7*Inputs!D8*Days_PM*2000*0.01)/1000</f>
        <v>0</v>
      </c>
      <c r="G9" s="12">
        <f>(Inputs!D7*Inputs!D8*Days_PM*2000*0.015)/1000</f>
        <v>0</v>
      </c>
      <c r="H9" s="12">
        <f>(Inputs!D7*Inputs!D8*Days_PM*2000*0.02)/1000</f>
        <v>0</v>
      </c>
    </row>
    <row r="10" spans="1:8">
      <c r="A10" s="2">
        <v>3000</v>
      </c>
      <c r="B10" s="12">
        <f>(Inputs!D7*Inputs!D8*Days_PM*3000*0.001)/1000</f>
        <v>0</v>
      </c>
      <c r="C10" s="12">
        <f>(Inputs!D7*Inputs!D8*Days_PM*3000*0.0025)/1000</f>
        <v>0</v>
      </c>
      <c r="D10" s="12">
        <f>(Inputs!D7*Inputs!D8*Days_PM*3000*0.005)/1000</f>
        <v>0</v>
      </c>
      <c r="E10" s="12">
        <f>(Inputs!D7*Inputs!D8*Days_PM*3000*0.0075)/1000</f>
        <v>0</v>
      </c>
      <c r="F10" s="12">
        <f>(Inputs!D7*Inputs!D8*Days_PM*3000*0.01)/1000</f>
        <v>0</v>
      </c>
      <c r="G10" s="12">
        <f>(Inputs!D7*Inputs!D8*Days_PM*3000*0.015)/1000</f>
        <v>0</v>
      </c>
      <c r="H10" s="12">
        <f>(Inputs!D7*Inputs!D8*Days_PM*3000*0.02)/1000</f>
        <v>0</v>
      </c>
    </row>
    <row r="11" spans="1:8">
      <c r="A11" s="2">
        <v>4000</v>
      </c>
      <c r="B11" s="12">
        <f>(Inputs!D7*Inputs!D8*Days_PM*4000*0.001)/1000</f>
        <v>0</v>
      </c>
      <c r="C11" s="12">
        <f>(Inputs!D7*Inputs!D8*Days_PM*4000*0.0025)/1000</f>
        <v>0</v>
      </c>
      <c r="D11" s="12">
        <f>(Inputs!D7*Inputs!D8*Days_PM*4000*0.005)/1000</f>
        <v>0</v>
      </c>
      <c r="E11" s="12">
        <f>(Inputs!D7*Inputs!D8*Days_PM*4000*0.0075)/1000</f>
        <v>0</v>
      </c>
      <c r="F11" s="12">
        <f>(Inputs!D7*Inputs!D8*Days_PM*4000*0.01)/1000</f>
        <v>0</v>
      </c>
      <c r="G11" s="12">
        <f>(Inputs!D7*Inputs!D8*Days_PM*4000*0.015)/1000</f>
        <v>0</v>
      </c>
      <c r="H11" s="12">
        <f>(Inputs!D7*Inputs!D8*Days_PM*4000*0.02)/1000</f>
        <v>0</v>
      </c>
    </row>
    <row r="12" spans="1:8">
      <c r="A12" s="2">
        <v>6000</v>
      </c>
      <c r="B12" s="12">
        <f>(Inputs!D7*Inputs!D8*Days_PM*6000*0.001)/1000</f>
        <v>0</v>
      </c>
      <c r="C12" s="12">
        <f>(Inputs!D7*Inputs!D8*Days_PM*6000*0.0025)/1000</f>
        <v>0</v>
      </c>
      <c r="D12" s="12">
        <f>(Inputs!D7*Inputs!D8*Days_PM*6000*0.005)/1000</f>
        <v>0</v>
      </c>
      <c r="E12" s="12">
        <f>(Inputs!D7*Inputs!D8*Days_PM*6000*0.0075)/1000</f>
        <v>0</v>
      </c>
      <c r="F12" s="12">
        <f>(Inputs!D7*Inputs!D8*Days_PM*6000*0.01)/1000</f>
        <v>0</v>
      </c>
      <c r="G12" s="12">
        <f>(Inputs!D7*Inputs!D8*Days_PM*6000*0.015)/1000</f>
        <v>0</v>
      </c>
      <c r="H12" s="12">
        <f>(Inputs!D7*Inputs!D8*Days_PM*6000*0.02)/1000</f>
        <v>0</v>
      </c>
    </row>
    <row r="15" spans="1:8">
      <c r="A15" s="4" t="s">
        <v>105</v>
      </c>
      <c r="B15" s="4"/>
      <c r="C15" s="4"/>
      <c r="D15" s="4"/>
      <c r="E15" s="4"/>
      <c r="F15" s="4"/>
      <c r="G15" s="4"/>
      <c r="H15" s="4"/>
    </row>
    <row r="17" spans="1:8">
      <c r="A17" s="6" t="s">
        <v>106</v>
      </c>
      <c r="B17" s="6">
        <v>2</v>
      </c>
      <c r="C17" s="6">
        <v>5</v>
      </c>
      <c r="D17" s="6">
        <v>8</v>
      </c>
      <c r="E17" s="6">
        <v>12</v>
      </c>
      <c r="F17" s="6">
        <v>20</v>
      </c>
      <c r="G17" s="6">
        <v>30</v>
      </c>
      <c r="H17" s="6">
        <v>50</v>
      </c>
    </row>
    <row r="18" spans="1:8">
      <c r="A18" s="2">
        <v>5</v>
      </c>
      <c r="B18" s="12">
        <f>(2*5*Days_PM*(Inputs!C9*Inputs!C11+Inputs!C10*Inputs!C12))/1000</f>
        <v>0</v>
      </c>
      <c r="C18" s="12">
        <f>(5*5*Days_PM*(Inputs!C9*Inputs!C11+Inputs!C10*Inputs!C12))/1000</f>
        <v>0</v>
      </c>
      <c r="D18" s="12">
        <f>(8*5*Days_PM*(Inputs!C9*Inputs!C11+Inputs!C10*Inputs!C12))/1000</f>
        <v>0</v>
      </c>
      <c r="E18" s="12">
        <f>(12*5*Days_PM*(Inputs!C9*Inputs!C11+Inputs!C10*Inputs!C12))/1000</f>
        <v>0</v>
      </c>
      <c r="F18" s="12">
        <f>(20*5*Days_PM*(Inputs!C9*Inputs!C11+Inputs!C10*Inputs!C12))/1000</f>
        <v>0</v>
      </c>
      <c r="G18" s="12">
        <f>(30*5*Days_PM*(Inputs!C9*Inputs!C11+Inputs!C10*Inputs!C12))/1000</f>
        <v>0</v>
      </c>
      <c r="H18" s="12">
        <f>(50*5*Days_PM*(Inputs!C9*Inputs!C11+Inputs!C10*Inputs!C12))/1000</f>
        <v>0</v>
      </c>
    </row>
    <row r="19" spans="1:8">
      <c r="A19" s="2">
        <v>10</v>
      </c>
      <c r="B19" s="12">
        <f>(2*10*Days_PM*(Inputs!C9*Inputs!C11+Inputs!C10*Inputs!C12))/1000</f>
        <v>0</v>
      </c>
      <c r="C19" s="12">
        <f>(5*10*Days_PM*(Inputs!C9*Inputs!C11+Inputs!C10*Inputs!C12))/1000</f>
        <v>0</v>
      </c>
      <c r="D19" s="12">
        <f>(8*10*Days_PM*(Inputs!C9*Inputs!C11+Inputs!C10*Inputs!C12))/1000</f>
        <v>0</v>
      </c>
      <c r="E19" s="12">
        <f>(12*10*Days_PM*(Inputs!C9*Inputs!C11+Inputs!C10*Inputs!C12))/1000</f>
        <v>0</v>
      </c>
      <c r="F19" s="12">
        <f>(20*10*Days_PM*(Inputs!C9*Inputs!C11+Inputs!C10*Inputs!C12))/1000</f>
        <v>0</v>
      </c>
      <c r="G19" s="12">
        <f>(30*10*Days_PM*(Inputs!C9*Inputs!C11+Inputs!C10*Inputs!C12))/1000</f>
        <v>0</v>
      </c>
      <c r="H19" s="12">
        <f>(50*10*Days_PM*(Inputs!C9*Inputs!C11+Inputs!C10*Inputs!C12))/1000</f>
        <v>0</v>
      </c>
    </row>
    <row r="20" spans="1:8">
      <c r="A20" s="2">
        <v>15</v>
      </c>
      <c r="B20" s="12">
        <f>(2*15*Days_PM*(Inputs!C9*Inputs!C11+Inputs!C10*Inputs!C12))/1000</f>
        <v>0</v>
      </c>
      <c r="C20" s="12">
        <f>(5*15*Days_PM*(Inputs!C9*Inputs!C11+Inputs!C10*Inputs!C12))/1000</f>
        <v>0</v>
      </c>
      <c r="D20" s="12">
        <f>(8*15*Days_PM*(Inputs!C9*Inputs!C11+Inputs!C10*Inputs!C12))/1000</f>
        <v>0</v>
      </c>
      <c r="E20" s="12">
        <f>(12*15*Days_PM*(Inputs!C9*Inputs!C11+Inputs!C10*Inputs!C12))/1000</f>
        <v>0</v>
      </c>
      <c r="F20" s="12">
        <f>(20*15*Days_PM*(Inputs!C9*Inputs!C11+Inputs!C10*Inputs!C12))/1000</f>
        <v>0</v>
      </c>
      <c r="G20" s="12">
        <f>(30*15*Days_PM*(Inputs!C9*Inputs!C11+Inputs!C10*Inputs!C12))/1000</f>
        <v>0</v>
      </c>
      <c r="H20" s="12">
        <f>(50*15*Days_PM*(Inputs!C9*Inputs!C11+Inputs!C10*Inputs!C12))/1000</f>
        <v>0</v>
      </c>
    </row>
    <row r="21" spans="1:8">
      <c r="A21" s="2">
        <v>20</v>
      </c>
      <c r="B21" s="12">
        <f>(2*20*Days_PM*(Inputs!C9*Inputs!C11+Inputs!C10*Inputs!C12))/1000</f>
        <v>0</v>
      </c>
      <c r="C21" s="12">
        <f>(5*20*Days_PM*(Inputs!C9*Inputs!C11+Inputs!C10*Inputs!C12))/1000</f>
        <v>0</v>
      </c>
      <c r="D21" s="12">
        <f>(8*20*Days_PM*(Inputs!C9*Inputs!C11+Inputs!C10*Inputs!C12))/1000</f>
        <v>0</v>
      </c>
      <c r="E21" s="12">
        <f>(12*20*Days_PM*(Inputs!C9*Inputs!C11+Inputs!C10*Inputs!C12))/1000</f>
        <v>0</v>
      </c>
      <c r="F21" s="12">
        <f>(20*20*Days_PM*(Inputs!C9*Inputs!C11+Inputs!C10*Inputs!C12))/1000</f>
        <v>0</v>
      </c>
      <c r="G21" s="12">
        <f>(30*20*Days_PM*(Inputs!C9*Inputs!C11+Inputs!C10*Inputs!C12))/1000</f>
        <v>0</v>
      </c>
      <c r="H21" s="12">
        <f>(50*20*Days_PM*(Inputs!C9*Inputs!C11+Inputs!C10*Inputs!C12))/1000</f>
        <v>0</v>
      </c>
    </row>
    <row r="22" spans="1:8">
      <c r="A22" s="2">
        <v>30</v>
      </c>
      <c r="B22" s="12">
        <f>(2*30*Days_PM*(Inputs!C9*Inputs!C11+Inputs!C10*Inputs!C12))/1000</f>
        <v>0</v>
      </c>
      <c r="C22" s="12">
        <f>(5*30*Days_PM*(Inputs!C9*Inputs!C11+Inputs!C10*Inputs!C12))/1000</f>
        <v>0</v>
      </c>
      <c r="D22" s="12">
        <f>(8*30*Days_PM*(Inputs!C9*Inputs!C11+Inputs!C10*Inputs!C12))/1000</f>
        <v>0</v>
      </c>
      <c r="E22" s="12">
        <f>(12*30*Days_PM*(Inputs!C9*Inputs!C11+Inputs!C10*Inputs!C12))/1000</f>
        <v>0</v>
      </c>
      <c r="F22" s="12">
        <f>(20*30*Days_PM*(Inputs!C9*Inputs!C11+Inputs!C10*Inputs!C12))/1000</f>
        <v>0</v>
      </c>
      <c r="G22" s="12">
        <f>(30*30*Days_PM*(Inputs!C9*Inputs!C11+Inputs!C10*Inputs!C12))/1000</f>
        <v>0</v>
      </c>
      <c r="H22" s="12">
        <f>(50*30*Days_PM*(Inputs!C9*Inputs!C11+Inputs!C10*Inputs!C12))/1000</f>
        <v>0</v>
      </c>
    </row>
    <row r="23" spans="1:8">
      <c r="A23" s="2">
        <v>50</v>
      </c>
      <c r="B23" s="12">
        <f>(2*50*Days_PM*(Inputs!C9*Inputs!C11+Inputs!C10*Inputs!C12))/1000</f>
        <v>0</v>
      </c>
      <c r="C23" s="12">
        <f>(5*50*Days_PM*(Inputs!C9*Inputs!C11+Inputs!C10*Inputs!C12))/1000</f>
        <v>0</v>
      </c>
      <c r="D23" s="12">
        <f>(8*50*Days_PM*(Inputs!C9*Inputs!C11+Inputs!C10*Inputs!C12))/1000</f>
        <v>0</v>
      </c>
      <c r="E23" s="12">
        <f>(12*50*Days_PM*(Inputs!C9*Inputs!C11+Inputs!C10*Inputs!C12))/1000</f>
        <v>0</v>
      </c>
      <c r="F23" s="12">
        <f>(20*50*Days_PM*(Inputs!C9*Inputs!C11+Inputs!C10*Inputs!C12))/1000</f>
        <v>0</v>
      </c>
      <c r="G23" s="12">
        <f>(30*50*Days_PM*(Inputs!C9*Inputs!C11+Inputs!C10*Inputs!C12))/1000</f>
        <v>0</v>
      </c>
      <c r="H23" s="12">
        <f>(50*50*Days_PM*(Inputs!C9*Inputs!C11+Inputs!C10*Inputs!C12))/1000</f>
        <v>0</v>
      </c>
    </row>
    <row r="24" spans="1:8">
      <c r="A24" s="2">
        <v>80</v>
      </c>
      <c r="B24" s="12">
        <f>(2*80*Days_PM*(Inputs!C9*Inputs!C11+Inputs!C10*Inputs!C12))/1000</f>
        <v>0</v>
      </c>
      <c r="C24" s="12">
        <f>(5*80*Days_PM*(Inputs!C9*Inputs!C11+Inputs!C10*Inputs!C12))/1000</f>
        <v>0</v>
      </c>
      <c r="D24" s="12">
        <f>(8*80*Days_PM*(Inputs!C9*Inputs!C11+Inputs!C10*Inputs!C12))/1000</f>
        <v>0</v>
      </c>
      <c r="E24" s="12">
        <f>(12*80*Days_PM*(Inputs!C9*Inputs!C11+Inputs!C10*Inputs!C12))/1000</f>
        <v>0</v>
      </c>
      <c r="F24" s="12">
        <f>(20*80*Days_PM*(Inputs!C9*Inputs!C11+Inputs!C10*Inputs!C12))/1000</f>
        <v>0</v>
      </c>
      <c r="G24" s="12">
        <f>(30*80*Days_PM*(Inputs!C9*Inputs!C11+Inputs!C10*Inputs!C12))/1000</f>
        <v>0</v>
      </c>
      <c r="H24" s="12">
        <f>(50*80*Days_PM*(Inputs!C9*Inputs!C11+Inputs!C10*Inputs!C12))/1000</f>
        <v>0</v>
      </c>
    </row>
  </sheetData>
  <mergeCells count="2">
    <mergeCell ref="A1:H1"/>
    <mergeCell ref="A15:H15"/>
  </mergeCells>
  <conditionalFormatting sqref="B18:H2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6:H12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40.7109375" customWidth="1"/>
    <col min="2" max="5" width="16.7109375" customWidth="1"/>
  </cols>
  <sheetData>
    <row r="1" spans="1:5" ht="28" customHeight="1">
      <c r="A1" s="1" t="s">
        <v>107</v>
      </c>
      <c r="B1" s="1"/>
      <c r="C1" s="1"/>
      <c r="D1" s="1"/>
      <c r="E1" s="1"/>
    </row>
    <row r="3" spans="1:5">
      <c r="A3" s="6" t="s">
        <v>108</v>
      </c>
      <c r="B3" s="6" t="s">
        <v>109</v>
      </c>
      <c r="C3" s="6" t="s">
        <v>95</v>
      </c>
      <c r="D3" s="6" t="s">
        <v>110</v>
      </c>
      <c r="E3" s="6" t="s">
        <v>111</v>
      </c>
    </row>
    <row r="4" spans="1:5">
      <c r="A4" s="2" t="s">
        <v>112</v>
      </c>
      <c r="B4" s="12">
        <f>(Inputs!D7*Inputs!D8*1.0*Days_PM*(Inputs!D9*1.0*Inputs!D11+Inputs!D10*1.0*Inputs!D12))/1000*(1+Inputs!D13*1.0)+Inputs!D14*1.0+Inputs!D15+Inputs!D7*Inputs!D8*1.0*Days_PM*(Inputs!D16+Inputs!D17)</f>
        <v>0</v>
      </c>
      <c r="C4" s="16">
        <f>IF(Inputs!D18&gt;0,(Inputs!D18-B4)/Inputs!D18,-1)</f>
        <v>0</v>
      </c>
      <c r="D4" s="18">
        <f>IF(B4&gt;Inputs!D18*Markup,"YES","no")</f>
        <v>0</v>
      </c>
      <c r="E4" s="12">
        <f>B4-'Cost-Per-Tenant'!D11</f>
        <v>0</v>
      </c>
    </row>
    <row r="5" spans="1:5">
      <c r="A5" s="2" t="s">
        <v>113</v>
      </c>
      <c r="B5" s="12">
        <f>(Inputs!D7*Inputs!D8*1.0*Days_PM*(Inputs!D9*1.5*Inputs!D11+Inputs!D10*1.5*Inputs!D12))/1000*(1+Inputs!D13*1.0)+Inputs!D14*1.0+Inputs!D15+Inputs!D7*Inputs!D8*1.0*Days_PM*(Inputs!D16+Inputs!D17)</f>
        <v>0</v>
      </c>
      <c r="C5" s="16">
        <f>IF(Inputs!D18&gt;0,(Inputs!D18-B5)/Inputs!D18,-1)</f>
        <v>0</v>
      </c>
      <c r="D5" s="18">
        <f>IF(B5&gt;Inputs!D18*Markup,"YES","no")</f>
        <v>0</v>
      </c>
      <c r="E5" s="12">
        <f>B5-'Cost-Per-Tenant'!D11</f>
        <v>0</v>
      </c>
    </row>
    <row r="6" spans="1:5">
      <c r="A6" s="2" t="s">
        <v>114</v>
      </c>
      <c r="B6" s="12">
        <f>(Inputs!D7*Inputs!D8*1.0*Days_PM*(Inputs!D9*2.0*Inputs!D11+Inputs!D10*2.0*Inputs!D12))/1000*(1+Inputs!D13*1.0)+Inputs!D14*1.0+Inputs!D15+Inputs!D7*Inputs!D8*1.0*Days_PM*(Inputs!D16+Inputs!D17)</f>
        <v>0</v>
      </c>
      <c r="C6" s="16">
        <f>IF(Inputs!D18&gt;0,(Inputs!D18-B6)/Inputs!D18,-1)</f>
        <v>0</v>
      </c>
      <c r="D6" s="18">
        <f>IF(B6&gt;Inputs!D18*Markup,"YES","no")</f>
        <v>0</v>
      </c>
      <c r="E6" s="12">
        <f>B6-'Cost-Per-Tenant'!D11</f>
        <v>0</v>
      </c>
    </row>
    <row r="7" spans="1:5">
      <c r="A7" s="2" t="s">
        <v>115</v>
      </c>
      <c r="B7" s="12">
        <f>(Inputs!D7*Inputs!D8*1.0*Days_PM*(Inputs!D9*3.0*Inputs!D11+Inputs!D10*3.0*Inputs!D12))/1000*(1+Inputs!D13*1.0)+Inputs!D14*1.0+Inputs!D15+Inputs!D7*Inputs!D8*1.0*Days_PM*(Inputs!D16+Inputs!D17)</f>
        <v>0</v>
      </c>
      <c r="C7" s="16">
        <f>IF(Inputs!D18&gt;0,(Inputs!D18-B7)/Inputs!D18,-1)</f>
        <v>0</v>
      </c>
      <c r="D7" s="18">
        <f>IF(B7&gt;Inputs!D18*Markup,"YES","no")</f>
        <v>0</v>
      </c>
      <c r="E7" s="12">
        <f>B7-'Cost-Per-Tenant'!D11</f>
        <v>0</v>
      </c>
    </row>
    <row r="8" spans="1:5">
      <c r="A8" s="2" t="s">
        <v>116</v>
      </c>
      <c r="B8" s="12">
        <f>(Inputs!D7*Inputs!D8*2.0*Days_PM*(Inputs!D9*1.0*Inputs!D11+Inputs!D10*1.0*Inputs!D12))/1000*(1+Inputs!D13*1.0)+Inputs!D14*1.0+Inputs!D15+Inputs!D7*Inputs!D8*2.0*Days_PM*(Inputs!D16+Inputs!D17)</f>
        <v>0</v>
      </c>
      <c r="C8" s="16">
        <f>IF(Inputs!D18&gt;0,(Inputs!D18-B8)/Inputs!D18,-1)</f>
        <v>0</v>
      </c>
      <c r="D8" s="18">
        <f>IF(B8&gt;Inputs!D18*Markup,"YES","no")</f>
        <v>0</v>
      </c>
      <c r="E8" s="12">
        <f>B8-'Cost-Per-Tenant'!D11</f>
        <v>0</v>
      </c>
    </row>
    <row r="9" spans="1:5">
      <c r="A9" s="2" t="s">
        <v>117</v>
      </c>
      <c r="B9" s="12">
        <f>(Inputs!D7*Inputs!D8*1.0*Days_PM*(Inputs!D9*1.0*Inputs!D11+Inputs!D10*1.0*Inputs!D12))/1000*(1+Inputs!D13*1.0)+Inputs!D14*2.0+Inputs!D15+Inputs!D7*Inputs!D8*1.0*Days_PM*(Inputs!D16+Inputs!D17)</f>
        <v>0</v>
      </c>
      <c r="C9" s="16">
        <f>IF(Inputs!D18&gt;0,(Inputs!D18-B9)/Inputs!D18,-1)</f>
        <v>0</v>
      </c>
      <c r="D9" s="18">
        <f>IF(B9&gt;Inputs!D18*Markup,"YES","no")</f>
        <v>0</v>
      </c>
      <c r="E9" s="12">
        <f>B9-'Cost-Per-Tenant'!D11</f>
        <v>0</v>
      </c>
    </row>
    <row r="10" spans="1:5">
      <c r="A10" s="2" t="s">
        <v>118</v>
      </c>
      <c r="B10" s="12">
        <f>(Inputs!D7*Inputs!D8*1.0*Days_PM*(Inputs!D9*1.0*Inputs!D11+Inputs!D10*1.0*Inputs!D12))/1000*(1+Inputs!D13*2.0)+Inputs!D14*1.0+Inputs!D15+Inputs!D7*Inputs!D8*1.0*Days_PM*(Inputs!D16+Inputs!D17)</f>
        <v>0</v>
      </c>
      <c r="C10" s="16">
        <f>IF(Inputs!D18&gt;0,(Inputs!D18-B10)/Inputs!D18,-1)</f>
        <v>0</v>
      </c>
      <c r="D10" s="18">
        <f>IF(B10&gt;Inputs!D18*Markup,"YES","no")</f>
        <v>0</v>
      </c>
      <c r="E10" s="12">
        <f>B10-'Cost-Per-Tenant'!D11</f>
        <v>0</v>
      </c>
    </row>
    <row r="11" spans="1:5">
      <c r="A11" s="2" t="s">
        <v>119</v>
      </c>
      <c r="B11" s="12">
        <f>(Inputs!D7*Inputs!D8*Days_PM*(Inputs!D9*Inputs!D11*1.5+Inputs!D10*Inputs!D12*1.5))/1000*(1+Inputs!D13)+Inputs!D14+Inputs!D15+Inputs!D7*Inputs!D8*Days_PM*(Inputs!D16+Inputs!D17)</f>
        <v>0</v>
      </c>
      <c r="C11" s="16">
        <f>IF(Inputs!D18&gt;0,(Inputs!D18-B11)/Inputs!D18,-1)</f>
        <v>0</v>
      </c>
      <c r="D11" s="18">
        <f>IF(B11&gt;Inputs!D18*Markup,"YES","no")</f>
        <v>0</v>
      </c>
      <c r="E11" s="12">
        <f>B11-'Cost-Per-Tenant'!D11</f>
        <v>0</v>
      </c>
    </row>
  </sheetData>
  <mergeCells count="1">
    <mergeCell ref="A1:E1"/>
  </mergeCells>
  <conditionalFormatting sqref="C4:C11">
    <cfRule type="cellIs" dxfId="2" priority="2" operator="lessThan">
      <formula>0.4</formula>
    </cfRule>
    <cfRule type="cellIs" dxfId="1" priority="3" operator="between">
      <formula>0.4</formula>
      <formula>0.7</formula>
    </cfRule>
    <cfRule type="cellIs" dxfId="0" priority="4" operator="greaterThanOrEqual">
      <formula>0.7</formula>
    </cfRule>
  </conditionalFormatting>
  <conditionalFormatting sqref="D4:D11">
    <cfRule type="containsText" dxfId="2" priority="1" operator="containsText" text="YES">
      <formula>NOT(ISERROR(SEARCH("YES",D4)))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6.7109375" customWidth="1"/>
    <col min="2" max="4" width="16.7109375" customWidth="1"/>
  </cols>
  <sheetData>
    <row r="1" spans="1:4" ht="30" customHeight="1">
      <c r="A1" s="1" t="s">
        <v>120</v>
      </c>
      <c r="B1" s="1"/>
      <c r="C1" s="1"/>
      <c r="D1" s="1"/>
    </row>
    <row r="4" spans="1:4" ht="22" customHeight="1">
      <c r="A4" s="19" t="s">
        <v>121</v>
      </c>
      <c r="B4" s="20">
        <f>'Cost-Per-Tenant'!B11</f>
        <v>0</v>
      </c>
    </row>
    <row r="5" spans="1:4" ht="22" customHeight="1">
      <c r="A5" s="19" t="s">
        <v>122</v>
      </c>
      <c r="B5" s="20">
        <f>'Cost-Per-Tenant'!C11</f>
        <v>0</v>
      </c>
    </row>
    <row r="6" spans="1:4" ht="22" customHeight="1">
      <c r="A6" s="19" t="s">
        <v>123</v>
      </c>
      <c r="B6" s="20">
        <f>'Cost-Per-Tenant'!D11</f>
        <v>0</v>
      </c>
    </row>
    <row r="7" spans="1:4" ht="22" customHeight="1">
      <c r="A7" s="19" t="s">
        <v>124</v>
      </c>
      <c r="B7" s="21">
        <f>'Margin-Analysis'!B7</f>
        <v>0</v>
      </c>
    </row>
    <row r="8" spans="1:4" ht="22" customHeight="1">
      <c r="A8" s="19" t="s">
        <v>125</v>
      </c>
      <c r="B8" s="21">
        <f>'Margin-Analysis'!C7</f>
        <v>0</v>
      </c>
    </row>
    <row r="9" spans="1:4" ht="22" customHeight="1">
      <c r="A9" s="19" t="s">
        <v>126</v>
      </c>
      <c r="B9" s="21">
        <f>'Margin-Analysis'!D7</f>
        <v>0</v>
      </c>
    </row>
    <row r="10" spans="1:4" ht="22" customHeight="1">
      <c r="A10" s="19" t="s">
        <v>127</v>
      </c>
      <c r="B10" s="21">
        <f>'Margin-Analysis'!C11</f>
        <v>0</v>
      </c>
    </row>
    <row r="11" spans="1:4" ht="22" customHeight="1">
      <c r="A11" s="19" t="s">
        <v>128</v>
      </c>
      <c r="B11" s="21">
        <f>'Margin-Analysis'!D11</f>
        <v>0</v>
      </c>
    </row>
    <row r="12" spans="1:4" ht="22" customHeight="1">
      <c r="A12" s="19" t="s">
        <v>129</v>
      </c>
      <c r="B12" s="20">
        <f>'Cost-Per-Tenant'!B15</f>
        <v>0</v>
      </c>
    </row>
    <row r="13" spans="1:4" ht="22" customHeight="1">
      <c r="A13" s="19" t="s">
        <v>130</v>
      </c>
      <c r="B13" s="22">
        <f>'Cost-Per-Tenant'!B15*FX_AI</f>
        <v>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23" t="s">
        <v>131</v>
      </c>
      <c r="B1" s="23"/>
    </row>
    <row r="3" spans="1:2" ht="60" customHeight="1">
      <c r="A3" s="2" t="s">
        <v>132</v>
      </c>
      <c r="B3" s="24" t="s">
        <v>133</v>
      </c>
    </row>
    <row r="4" spans="1:2" ht="60" customHeight="1">
      <c r="A4" s="2" t="s">
        <v>134</v>
      </c>
      <c r="B4" s="24" t="s">
        <v>135</v>
      </c>
    </row>
    <row r="5" spans="1:2" ht="60" customHeight="1">
      <c r="A5" s="2" t="s">
        <v>136</v>
      </c>
      <c r="B5" s="24" t="s">
        <v>137</v>
      </c>
    </row>
    <row r="6" spans="1:2" ht="60" customHeight="1">
      <c r="A6" s="2" t="s">
        <v>138</v>
      </c>
      <c r="B6" s="24" t="s">
        <v>139</v>
      </c>
    </row>
    <row r="7" spans="1:2" ht="60" customHeight="1">
      <c r="A7" s="2" t="s">
        <v>140</v>
      </c>
      <c r="B7" s="24" t="s">
        <v>141</v>
      </c>
    </row>
    <row r="8" spans="1:2" ht="60" customHeight="1">
      <c r="A8" s="2" t="s">
        <v>142</v>
      </c>
      <c r="B8" s="24" t="s">
        <v>143</v>
      </c>
    </row>
    <row r="9" spans="1:2" ht="60" customHeight="1">
      <c r="A9" s="2" t="s">
        <v>144</v>
      </c>
      <c r="B9" s="24" t="s">
        <v>145</v>
      </c>
    </row>
    <row r="10" spans="1:2" ht="60" customHeight="1">
      <c r="A10" s="2" t="s">
        <v>146</v>
      </c>
      <c r="B10" s="24" t="s">
        <v>147</v>
      </c>
    </row>
    <row r="11" spans="1:2" ht="60" customHeight="1">
      <c r="A11" s="2" t="s">
        <v>148</v>
      </c>
      <c r="B11" s="24" t="s">
        <v>149</v>
      </c>
    </row>
    <row r="12" spans="1:2" ht="60" customHeight="1">
      <c r="A12" s="2" t="s">
        <v>150</v>
      </c>
      <c r="B12" s="24" t="s">
        <v>151</v>
      </c>
    </row>
    <row r="13" spans="1:2" ht="60" customHeight="1">
      <c r="A13" s="2" t="s">
        <v>152</v>
      </c>
      <c r="B13" s="24" t="s">
        <v>153</v>
      </c>
    </row>
    <row r="14" spans="1:2" ht="60" customHeight="1">
      <c r="A14" s="2" t="s">
        <v>154</v>
      </c>
      <c r="B14" s="24" t="s">
        <v>155</v>
      </c>
    </row>
    <row r="15" spans="1:2" ht="60" customHeight="1">
      <c r="A15" s="2" t="s">
        <v>156</v>
      </c>
      <c r="B15" s="24" t="s">
        <v>157</v>
      </c>
    </row>
    <row r="16" spans="1:2" ht="60" customHeight="1">
      <c r="A16" s="2" t="s">
        <v>158</v>
      </c>
      <c r="B16" s="24" t="s">
        <v>159</v>
      </c>
    </row>
    <row r="17" spans="1:2" ht="60" customHeight="1">
      <c r="A17" s="2" t="s">
        <v>160</v>
      </c>
      <c r="B17" s="24" t="s">
        <v>161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README</vt:lpstr>
      <vt:lpstr>Inputs</vt:lpstr>
      <vt:lpstr>Cost-Per-Tenant</vt:lpstr>
      <vt:lpstr>Margin-Analysis</vt:lpstr>
      <vt:lpstr>Sensitivity</vt:lpstr>
      <vt:lpstr>Stress-Test</vt:lpstr>
      <vt:lpstr>Dashboard</vt:lpstr>
      <vt:lpstr>Africa-Notes</vt:lpstr>
      <vt:lpstr>Days_PM</vt:lpstr>
      <vt:lpstr>FX_AI</vt:lpstr>
      <vt:lpstr>Markup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2026-05-11T12:51:17Z</dcterms:created>
  <dcterms:modified xsi:type="dcterms:W3CDTF">2026-05-11T12:51:17Z</dcterms:modified>
</cp:coreProperties>
</file>