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-Inputs" sheetId="2" r:id="rId2"/>
    <sheet name="KPI-Dashboard" sheetId="3" r:id="rId3"/>
    <sheet name="Variance-Tracker" sheetId="4" r:id="rId4"/>
    <sheet name="Africa-Notes" sheetId="5" r:id="rId5"/>
  </sheets>
  <definedNames>
    <definedName name="ARPA_LP">'Monthly-Inputs'!$B$24</definedName>
    <definedName name="CAC_LP">'Monthly-Inputs'!$B$23</definedName>
    <definedName name="Var_Thresh">'Monthly-Inputs'!$B$25</definedName>
  </definedNames>
  <calcPr calcId="124519" fullCalcOnLoad="1"/>
</workbook>
</file>

<file path=xl/sharedStrings.xml><?xml version="1.0" encoding="utf-8"?>
<sst xmlns="http://schemas.openxmlformats.org/spreadsheetml/2006/main" count="173" uniqueCount="124">
  <si>
    <t>SaaS Living-Plan KPI Dashboard (Monthly)</t>
  </si>
  <si>
    <t>Purpose</t>
  </si>
  <si>
    <t>24-month rolling dashboard for SaaS. Paste monthly actuals into Monthly-Inputs; the workbook computes ARR, MRR, MoM/YoY growth, Rule of 40, NRR, GRR, Magic Number, Burn Multiple, CAC payback, LTV:CAC, Quick Ratio — auto-traffic-lighted. Variance-Tracker flags &gt;10% deviation between plan and actual, which triggers the variance protocol per meta-living-plan-governance.</t>
  </si>
  <si>
    <t>Sheets in this workbook</t>
  </si>
  <si>
    <t>Monthly-Inputs</t>
  </si>
  <si>
    <t>Paste-in actuals: MRR, ARR, new logos, churned, expansion, S&amp;M, headcount, GM. Plan vs actual columns.</t>
  </si>
  <si>
    <t>KPI-Dashboard</t>
  </si>
  <si>
    <t>Auto-calc: ARR, MRR, growth, Rule of 40, NRR, GRR, Magic Number, Burn Multiple, CAC payback, LTV:CAC, Quick Ratio. Traffic-lighted.</t>
  </si>
  <si>
    <t>Variance-Tracker</t>
  </si>
  <si>
    <t>Plan vs actual; &gt;10% variance → REPLAN flag.</t>
  </si>
  <si>
    <t>Africa-Notes</t>
  </si>
  <si>
    <t>Reporting cadence under FX volatility; mobile-money payment-rail tracking.</t>
  </si>
  <si>
    <t>Owner</t>
  </si>
  <si>
    <t>CFO (founder pre-CFO). Reviewed monthly with CEO; quarterly with board.</t>
  </si>
  <si>
    <t>Update cadence</t>
  </si>
  <si>
    <t>Monthly close + 5 working days. Variance review same day as close.</t>
  </si>
  <si>
    <t>Living-plan discipline</t>
  </si>
  <si>
    <t>All yellow cells are user-editable inputs. White cells are formulas — do not overwrite. Refresh inputs on the cadence above. Any variance &gt;10% versus plan triggers a re-plan loop per skills/meta-living-plan-governance.</t>
  </si>
  <si>
    <t>Sources / methodology</t>
  </si>
  <si>
    <t>meta-living-plan-governance skill; OpenView SaaS Benchmarks; saas-bankability-and-investor-readiness.</t>
  </si>
  <si>
    <t>Currency convention</t>
  </si>
  <si>
    <t>All inputs in USD. Use FX cell on Inputs sheet to display local-currency equivalents (UGX, KES, NGN, ZAR, EGP). Mobile-money (M-Pesa / MoMo) and card-rail fees enter as % of revenue.</t>
  </si>
  <si>
    <t>Monthly Inputs — Plan vs Actual</t>
  </si>
  <si>
    <t>Metric / 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</si>
  <si>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</si>
  <si>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</si>
  <si>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</si>
  <si>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</si>
  <si>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</si>
  <si>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</si>
  <si>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</si>
  <si>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</si>
  <si>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</si>
  <si>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</si>
  <si>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</si>
  <si>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</si>
  <si>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</si>
  <si>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</si>
  <si>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</si>
  <si>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</si>
  <si>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</si>
  <si>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</si>
  <si>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</si>
  <si>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</si>
  <si>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</si>
  <si>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</si>
  <si>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</si>
  <si>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</si>
  <si>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PLAN (set once; update at re-forecast)</t>
  </si>
  <si>
    <t>Plan MRR ($)</t>
  </si>
  <si>
    <t>Plan New Logos</t>
  </si>
  <si>
    <t>Plan Churned Logos</t>
  </si>
  <si>
    <t>Plan Expansion MRR ($)</t>
  </si>
  <si>
    <t>Plan S&amp;M Spend ($)</t>
  </si>
  <si>
    <t>Plan Headcount</t>
  </si>
  <si>
    <t>Plan Gross Margin %</t>
  </si>
  <si>
    <t>Plan Cash Burn ($)</t>
  </si>
  <si>
    <t>ACTUAL (paste in from billing/HR/finance systems)</t>
  </si>
  <si>
    <t>Actual MRR ($)</t>
  </si>
  <si>
    <t>Actual New Logos</t>
  </si>
  <si>
    <t>Actual Churned Logos</t>
  </si>
  <si>
    <t>Actual Expansion MRR ($)</t>
  </si>
  <si>
    <t>Actual S&amp;M Spend ($)</t>
  </si>
  <si>
    <t>Actual Headcount</t>
  </si>
  <si>
    <t>Actual Gross Margin %</t>
  </si>
  <si>
    <t>Actual Cash Burn ($)</t>
  </si>
  <si>
    <t>Single-value assumptions</t>
  </si>
  <si>
    <t>Blended CAC ($/logo)</t>
  </si>
  <si>
    <t>ARPA ($/mo)</t>
  </si>
  <si>
    <t>Variance threshold % (trigger replan)</t>
  </si>
  <si>
    <t>Reporting currency</t>
  </si>
  <si>
    <t>UGX</t>
  </si>
  <si>
    <t>FX (local per USD)</t>
  </si>
  <si>
    <t>KPI Dashboard — Monthly</t>
  </si>
  <si>
    <t>KPI / Month</t>
  </si>
  <si>
    <t>MRR (actual, $)</t>
  </si>
  <si>
    <t>ARR (MRR×12, $)</t>
  </si>
  <si>
    <t>MoM growth %</t>
  </si>
  <si>
    <t>YoY growth %</t>
  </si>
  <si>
    <t>Logo Churn rate (monthly)</t>
  </si>
  <si>
    <t>Expansion rate (monthly)</t>
  </si>
  <si>
    <t>NRR (annual, rolling)</t>
  </si>
  <si>
    <t>GRR (annual, rolling)</t>
  </si>
  <si>
    <t>Magic Number (3-mo trailing)</t>
  </si>
  <si>
    <t>CAC Payback (mo)</t>
  </si>
  <si>
    <t>LTV:CAC</t>
  </si>
  <si>
    <t>Burn Multiple (3-mo)</t>
  </si>
  <si>
    <t>Quick Ratio</t>
  </si>
  <si>
    <t>Rule of 40 (trailing 12-mo)</t>
  </si>
  <si>
    <t>Variance Tracker — Plan vs Actual (&gt;10% triggers REPLAN)</t>
  </si>
  <si>
    <t>MRR variance %</t>
  </si>
  <si>
    <t>New Logos variance %</t>
  </si>
  <si>
    <t>S&amp;M Spend variance %</t>
  </si>
  <si>
    <t>Headcount variance %</t>
  </si>
  <si>
    <t>Gross Margin variance pp</t>
  </si>
  <si>
    <t>Cash Burn variance %</t>
  </si>
  <si>
    <t>REPLAN FLAG (any metric &gt;|threshold|)</t>
  </si>
  <si>
    <t>Africa-Specific Adjustments &amp; Notes</t>
  </si>
  <si>
    <t>FX Pass-Through</t>
  </si>
  <si>
    <t>USD-denominated cloud (AWS/Azure/GCP), AI APIs, and SaaS tooling sit against UGX/KES/NGN/ZAR/EGP revenue. Adjust gross-margin benchmarks 5–10pp downward vs US comps. Hold an FX rate on Inputs and stress it ±15% in the sensitivity tab.</t>
  </si>
  <si>
    <t>M-Pesa Payment Rail (Kenya, Tanzania)</t>
  </si>
  <si>
    <t>Typical fee 1.0–1.5% per transaction. STK-Push timeout failures generate involuntary churn — model 3-retry dunning over 7 days; recovery typically 30–50%. Track separately from voluntary churn.</t>
  </si>
  <si>
    <t>MoMo (MTN / Airtel — Uganda, Ghana, Rwanda, Nigeria)</t>
  </si>
  <si>
    <t>Fee band 1.5–2.0% per transaction. PIN-failure and float-shortage produce 4–6% annual involuntary churn vs &lt;1% US card rails. Best-practice: integrate two rails (MoMo + card) and route based on tier.</t>
  </si>
  <si>
    <t>Card Rails (Flutterwave / Paystack / Stripe)</t>
  </si>
  <si>
    <t>Card fees 2.9–3.8% + fixed. Card-decline rate 8–15% on first attempt for African issuing banks. Use Account-Updater services where available.</t>
  </si>
  <si>
    <t>USD-Enterprise Tier</t>
  </si>
  <si>
    <t>Charge Enterprise customers (&gt;$1k MRR) in USD invoiced via local entity or offshore SPV to hedge FX. Carries through to the Multi-Step P&amp;L as a separate revenue stream. Recommended for 30–60% of total ARR by Y3.</t>
  </si>
  <si>
    <t>Longer Collection Cycles</t>
  </si>
  <si>
    <t>Enterprise/public-sector DSO in Africa: 60–120 days (vs 30–45 US). Working-capital trough is deeper. Buffer trough at 9 months of opex vs the US 6-month standard.</t>
  </si>
  <si>
    <t>Annual Prepayment Uptake</t>
  </si>
  <si>
    <t>African SaaS: 20–40% of new contracts pay annually (vs 60–80% US enterprise). Discount typically 10–15%. Model deferred revenue accordingly — do not assume US prepayment economics.</t>
  </si>
  <si>
    <t>Sales-Cycle Length</t>
  </si>
  <si>
    <t>African mid-market sales cycle: 90–180 days. Enterprise: 6–18 months including procurement / public-sector RFP loops. CAC-payback benchmarks: relax US targets by 50–100%: &lt;18 (SMB), &lt;24 (Mid), &lt;36 (Ent).</t>
  </si>
  <si>
    <t>AI Cost Hedging</t>
  </si>
  <si>
    <t>LLM APIs are USD-priced. Hedge via (a) USD-priced AI premium tier, (b) per-tenant usage caps, (c) open-source model fallback (Llama-class on Bedrock/Together). The AI-cost calculator workbook models all three.</t>
  </si>
  <si>
    <t>DFI / Local-Bank Reporting</t>
  </si>
  <si>
    <t>Banks (Stanbic, Equity, KCB, Centenary) and DFIs (FMO, Norfund, Proparco, IFC) require local-currency primary view + USD parallel view. Build the model in USD here; toggle the FX row on Inputs for local presentation.</t>
  </si>
  <si>
    <t>Rule-of-40 Calibration</t>
  </si>
  <si>
    <t>Adjust to target 30 for years 1–3 of African SaaS (vs US 40). Aim for 40 by Year 4 once vertical S&amp;M is unlocked.</t>
  </si>
  <si>
    <t>Monthly Close Cadence under FX Volatility</t>
  </si>
  <si>
    <t>Re-cut MRR in USD and reporting-currency simultaneously each month. A 5–8% FX move can produce a &gt;10% variance against plan even when underlying logo/usage trends are on plan. Variance-Tracker exposes this — flag FX-driven variance separately from operating variance.</t>
  </si>
  <si>
    <t>Payment-Rail Reconciliation</t>
  </si>
  <si>
    <t>Reconcile MRR collected via M-Pesa, MoMo, and card separately each month. Track payment-failure (involuntary churn) trend per rail — a rail-specific spike (e.g., MoMo float-shortage period) is operationally different from voluntary churn and requires a different fix.</t>
  </si>
</sst>
</file>

<file path=xl/styles.xml><?xml version="1.0" encoding="utf-8"?>
<styleSheet xmlns="http://schemas.openxmlformats.org/spreadsheetml/2006/main">
  <numFmts count="5">
    <numFmt numFmtId="164" formatCode="$#,##0"/>
    <numFmt numFmtId="165" formatCode="#,##0"/>
    <numFmt numFmtId="166" formatCode="0.0%"/>
    <numFmt numFmtId="167" formatCode="$#,##0.00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7F6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5911"/>
        <bgColor indexed="64"/>
      </patternFill>
    </fill>
  </fills>
  <borders count="4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/>
    <xf numFmtId="164" fontId="0" fillId="6" borderId="3" xfId="0" applyNumberFormat="1" applyFill="1" applyBorder="1" applyProtection="1">
      <protection locked="0"/>
    </xf>
    <xf numFmtId="165" fontId="0" fillId="6" borderId="3" xfId="0" applyNumberFormat="1" applyFill="1" applyBorder="1" applyProtection="1">
      <protection locked="0"/>
    </xf>
    <xf numFmtId="166" fontId="0" fillId="6" borderId="3" xfId="0" applyNumberFormat="1" applyFill="1" applyBorder="1" applyProtection="1">
      <protection locked="0"/>
    </xf>
    <xf numFmtId="167" fontId="0" fillId="6" borderId="3" xfId="0" applyNumberFormat="1" applyFill="1" applyBorder="1" applyProtection="1">
      <protection locked="0"/>
    </xf>
    <xf numFmtId="0" fontId="0" fillId="6" borderId="3" xfId="0" applyFill="1" applyBorder="1" applyProtection="1">
      <protection locked="0"/>
    </xf>
    <xf numFmtId="168" fontId="0" fillId="6" borderId="3" xfId="0" applyNumberFormat="1" applyFill="1" applyBorder="1" applyProtection="1">
      <protection locked="0"/>
    </xf>
    <xf numFmtId="164" fontId="0" fillId="7" borderId="3" xfId="0" applyNumberFormat="1" applyFill="1" applyBorder="1"/>
    <xf numFmtId="166" fontId="0" fillId="7" borderId="3" xfId="0" applyNumberFormat="1" applyFill="1" applyBorder="1"/>
    <xf numFmtId="168" fontId="0" fillId="7" borderId="3" xfId="0" applyNumberFormat="1" applyFill="1" applyBorder="1"/>
    <xf numFmtId="0" fontId="7" fillId="8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color rgb="FF006100"/>
      </font>
      <numFmt numFmtId="169" formatCode="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numFmt numFmtId="169" formatCode="0.00"/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169" formatCode="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MRR — Plan vs Actual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Plan MRR</c:v>
          </c:tx>
          <c:spPr>
            <a:ln w="25400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strRef>
              <c:f>'Monthly-Inputs'!$B$3:$Y$3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'Monthly-Inputs'!$B$5:$Y$5</c:f>
              <c:numCache>
                <c:formatCode>General</c:formatCode>
                <c:ptCount val="24"/>
                <c:pt idx="0">
                  <c:v>10000</c:v>
                </c:pt>
                <c:pt idx="1">
                  <c:v>11500</c:v>
                </c:pt>
                <c:pt idx="2">
                  <c:v>13000</c:v>
                </c:pt>
                <c:pt idx="3">
                  <c:v>14500</c:v>
                </c:pt>
                <c:pt idx="4">
                  <c:v>16000</c:v>
                </c:pt>
                <c:pt idx="5">
                  <c:v>17500</c:v>
                </c:pt>
                <c:pt idx="6">
                  <c:v>19000</c:v>
                </c:pt>
                <c:pt idx="7">
                  <c:v>20500</c:v>
                </c:pt>
                <c:pt idx="8">
                  <c:v>22000</c:v>
                </c:pt>
                <c:pt idx="9">
                  <c:v>23500</c:v>
                </c:pt>
                <c:pt idx="10">
                  <c:v>25000</c:v>
                </c:pt>
                <c:pt idx="11">
                  <c:v>26500</c:v>
                </c:pt>
                <c:pt idx="12">
                  <c:v>28000</c:v>
                </c:pt>
                <c:pt idx="13">
                  <c:v>29500</c:v>
                </c:pt>
                <c:pt idx="14">
                  <c:v>31000</c:v>
                </c:pt>
                <c:pt idx="15">
                  <c:v>32500</c:v>
                </c:pt>
                <c:pt idx="16">
                  <c:v>34000</c:v>
                </c:pt>
                <c:pt idx="17">
                  <c:v>35500</c:v>
                </c:pt>
                <c:pt idx="18">
                  <c:v>37000</c:v>
                </c:pt>
                <c:pt idx="19">
                  <c:v>38500</c:v>
                </c:pt>
                <c:pt idx="20">
                  <c:v>40000</c:v>
                </c:pt>
                <c:pt idx="21">
                  <c:v>41500</c:v>
                </c:pt>
                <c:pt idx="22">
                  <c:v>43000</c:v>
                </c:pt>
                <c:pt idx="23">
                  <c:v>44500</c:v>
                </c:pt>
              </c:numCache>
            </c:numRef>
          </c:val>
        </c:ser>
        <c:ser>
          <c:idx val="1"/>
          <c:order val="1"/>
          <c:tx>
            <c:v>Actual MRR</c:v>
          </c:tx>
          <c:spPr>
            <a:ln w="31750">
              <a:solidFill>
                <a:srgbClr val="C65911"/>
              </a:solidFill>
            </a:ln>
          </c:spPr>
          <c:marker>
            <c:symbol val="none"/>
          </c:marker>
          <c:cat>
            <c:strRef>
              <c:f>'Monthly-Inputs'!$B$3:$Y$3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'Monthly-Inputs'!$B$14:$Y$14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12</xdr:col>
      <xdr:colOff>552450</xdr:colOff>
      <xdr:row>38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3" t="s">
        <v>2</v>
      </c>
    </row>
    <row r="5" spans="1:2">
      <c r="A5" s="4" t="s">
        <v>3</v>
      </c>
    </row>
    <row r="6" spans="1:2">
      <c r="A6" s="2" t="s">
        <v>4</v>
      </c>
      <c r="B6" s="3" t="s">
        <v>5</v>
      </c>
    </row>
    <row r="7" spans="1:2">
      <c r="A7" s="2" t="s">
        <v>6</v>
      </c>
      <c r="B7" s="3" t="s">
        <v>7</v>
      </c>
    </row>
    <row r="8" spans="1:2">
      <c r="A8" s="2" t="s">
        <v>8</v>
      </c>
      <c r="B8" s="3" t="s">
        <v>9</v>
      </c>
    </row>
    <row r="9" spans="1:2">
      <c r="A9" s="2" t="s">
        <v>10</v>
      </c>
      <c r="B9" s="3" t="s">
        <v>11</v>
      </c>
    </row>
    <row r="11" spans="1:2">
      <c r="A11" s="2" t="s">
        <v>12</v>
      </c>
      <c r="B11" s="3" t="s">
        <v>13</v>
      </c>
    </row>
    <row r="12" spans="1:2">
      <c r="A12" s="2" t="s">
        <v>14</v>
      </c>
      <c r="B12" s="3" t="s">
        <v>15</v>
      </c>
    </row>
    <row r="13" spans="1:2">
      <c r="A13" s="2" t="s">
        <v>16</v>
      </c>
      <c r="B13" s="3" t="s">
        <v>17</v>
      </c>
    </row>
    <row r="14" spans="1:2">
      <c r="A14" s="2" t="s">
        <v>18</v>
      </c>
      <c r="B14" s="3" t="s">
        <v>19</v>
      </c>
    </row>
    <row r="16" spans="1:2">
      <c r="A16" s="2" t="s">
        <v>20</v>
      </c>
      <c r="B16" s="3" t="s">
        <v>21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FormatPr defaultRowHeight="15"/>
  <cols>
    <col min="1" max="1" width="30.7109375" customWidth="1"/>
    <col min="2" max="26" width="11.7109375" customWidth="1"/>
  </cols>
  <sheetData>
    <row r="1" spans="1:25" ht="28" customHeight="1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 t="s">
        <v>45</v>
      </c>
      <c r="X3" s="5" t="s">
        <v>46</v>
      </c>
      <c r="Y3" s="5" t="s">
        <v>47</v>
      </c>
    </row>
    <row r="4" spans="1:25">
      <c r="A4" s="6" t="s">
        <v>48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>
      <c r="A5" s="2" t="s">
        <v>49</v>
      </c>
      <c r="B5" s="7">
        <v>10000</v>
      </c>
      <c r="C5" s="7">
        <v>11500</v>
      </c>
      <c r="D5" s="7">
        <v>13000</v>
      </c>
      <c r="E5" s="7">
        <v>14500</v>
      </c>
      <c r="F5" s="7">
        <v>16000</v>
      </c>
      <c r="G5" s="7">
        <v>17500</v>
      </c>
      <c r="H5" s="7">
        <v>19000</v>
      </c>
      <c r="I5" s="7">
        <v>20500</v>
      </c>
      <c r="J5" s="7">
        <v>22000</v>
      </c>
      <c r="K5" s="7">
        <v>23500</v>
      </c>
      <c r="L5" s="7">
        <v>25000</v>
      </c>
      <c r="M5" s="7">
        <v>26500</v>
      </c>
      <c r="N5" s="7">
        <v>28000</v>
      </c>
      <c r="O5" s="7">
        <v>29500</v>
      </c>
      <c r="P5" s="7">
        <v>31000</v>
      </c>
      <c r="Q5" s="7">
        <v>32500</v>
      </c>
      <c r="R5" s="7">
        <v>34000</v>
      </c>
      <c r="S5" s="7">
        <v>35500</v>
      </c>
      <c r="T5" s="7">
        <v>37000</v>
      </c>
      <c r="U5" s="7">
        <v>38500</v>
      </c>
      <c r="V5" s="7">
        <v>40000</v>
      </c>
      <c r="W5" s="7">
        <v>41500</v>
      </c>
      <c r="X5" s="7">
        <v>43000</v>
      </c>
      <c r="Y5" s="7">
        <v>44500</v>
      </c>
    </row>
    <row r="6" spans="1:25">
      <c r="A6" s="2" t="s">
        <v>50</v>
      </c>
      <c r="B6" s="8">
        <v>5</v>
      </c>
      <c r="C6" s="8">
        <v>5</v>
      </c>
      <c r="D6" s="8">
        <v>6</v>
      </c>
      <c r="E6" s="8">
        <v>6</v>
      </c>
      <c r="F6" s="8">
        <v>7</v>
      </c>
      <c r="G6" s="8">
        <v>8</v>
      </c>
      <c r="H6" s="8">
        <v>8</v>
      </c>
      <c r="I6" s="8">
        <v>9</v>
      </c>
      <c r="J6" s="8">
        <v>9</v>
      </c>
      <c r="K6" s="8">
        <v>10</v>
      </c>
      <c r="L6" s="8">
        <v>11</v>
      </c>
      <c r="M6" s="8">
        <v>11</v>
      </c>
      <c r="N6" s="8">
        <v>12</v>
      </c>
      <c r="O6" s="8">
        <v>12</v>
      </c>
      <c r="P6" s="8">
        <v>13</v>
      </c>
      <c r="Q6" s="8">
        <v>14</v>
      </c>
      <c r="R6" s="8">
        <v>14</v>
      </c>
      <c r="S6" s="8">
        <v>15</v>
      </c>
      <c r="T6" s="8">
        <v>15</v>
      </c>
      <c r="U6" s="8">
        <v>16</v>
      </c>
      <c r="V6" s="8">
        <v>17</v>
      </c>
      <c r="W6" s="8">
        <v>17</v>
      </c>
      <c r="X6" s="8">
        <v>18</v>
      </c>
      <c r="Y6" s="8">
        <v>18</v>
      </c>
    </row>
    <row r="7" spans="1:25">
      <c r="A7" s="2" t="s">
        <v>51</v>
      </c>
      <c r="B7" s="8">
        <v>0</v>
      </c>
      <c r="C7" s="8">
        <v>0</v>
      </c>
      <c r="D7" s="8">
        <v>0</v>
      </c>
      <c r="E7" s="8">
        <v>0</v>
      </c>
      <c r="F7" s="8">
        <v>1</v>
      </c>
      <c r="G7" s="8">
        <v>1</v>
      </c>
      <c r="H7" s="8">
        <v>1</v>
      </c>
      <c r="I7" s="8">
        <v>1</v>
      </c>
      <c r="J7" s="8">
        <v>2</v>
      </c>
      <c r="K7" s="8">
        <v>2</v>
      </c>
      <c r="L7" s="8">
        <v>2</v>
      </c>
      <c r="M7" s="8">
        <v>2</v>
      </c>
      <c r="N7" s="8">
        <v>3</v>
      </c>
      <c r="O7" s="8">
        <v>3</v>
      </c>
      <c r="P7" s="8">
        <v>3</v>
      </c>
      <c r="Q7" s="8">
        <v>3</v>
      </c>
      <c r="R7" s="8">
        <v>4</v>
      </c>
      <c r="S7" s="8">
        <v>4</v>
      </c>
      <c r="T7" s="8">
        <v>4</v>
      </c>
      <c r="U7" s="8">
        <v>4</v>
      </c>
      <c r="V7" s="8">
        <v>5</v>
      </c>
      <c r="W7" s="8">
        <v>5</v>
      </c>
      <c r="X7" s="8">
        <v>5</v>
      </c>
      <c r="Y7" s="8">
        <v>5</v>
      </c>
    </row>
    <row r="8" spans="1:25">
      <c r="A8" s="2" t="s">
        <v>52</v>
      </c>
      <c r="B8" s="7">
        <v>100</v>
      </c>
      <c r="C8" s="7">
        <v>200</v>
      </c>
      <c r="D8" s="7">
        <v>300</v>
      </c>
      <c r="E8" s="7">
        <v>400</v>
      </c>
      <c r="F8" s="7">
        <v>500</v>
      </c>
      <c r="G8" s="7">
        <v>600</v>
      </c>
      <c r="H8" s="7">
        <v>700</v>
      </c>
      <c r="I8" s="7">
        <v>800</v>
      </c>
      <c r="J8" s="7">
        <v>900</v>
      </c>
      <c r="K8" s="7">
        <v>1000</v>
      </c>
      <c r="L8" s="7">
        <v>1100</v>
      </c>
      <c r="M8" s="7">
        <v>1200</v>
      </c>
      <c r="N8" s="7">
        <v>1300</v>
      </c>
      <c r="O8" s="7">
        <v>1400</v>
      </c>
      <c r="P8" s="7">
        <v>1500</v>
      </c>
      <c r="Q8" s="7">
        <v>1600</v>
      </c>
      <c r="R8" s="7">
        <v>1700</v>
      </c>
      <c r="S8" s="7">
        <v>1800</v>
      </c>
      <c r="T8" s="7">
        <v>1900</v>
      </c>
      <c r="U8" s="7">
        <v>2000</v>
      </c>
      <c r="V8" s="7">
        <v>2100</v>
      </c>
      <c r="W8" s="7">
        <v>2200</v>
      </c>
      <c r="X8" s="7">
        <v>2300</v>
      </c>
      <c r="Y8" s="7">
        <v>2400</v>
      </c>
    </row>
    <row r="9" spans="1:25">
      <c r="A9" s="2" t="s">
        <v>53</v>
      </c>
      <c r="B9" s="7">
        <v>8000</v>
      </c>
      <c r="C9" s="7">
        <v>8300</v>
      </c>
      <c r="D9" s="7">
        <v>8600</v>
      </c>
      <c r="E9" s="7">
        <v>8900</v>
      </c>
      <c r="F9" s="7">
        <v>9200</v>
      </c>
      <c r="G9" s="7">
        <v>9500</v>
      </c>
      <c r="H9" s="7">
        <v>9800</v>
      </c>
      <c r="I9" s="7">
        <v>10100</v>
      </c>
      <c r="J9" s="7">
        <v>10400</v>
      </c>
      <c r="K9" s="7">
        <v>10700</v>
      </c>
      <c r="L9" s="7">
        <v>11000</v>
      </c>
      <c r="M9" s="7">
        <v>11300</v>
      </c>
      <c r="N9" s="7">
        <v>11600</v>
      </c>
      <c r="O9" s="7">
        <v>11900</v>
      </c>
      <c r="P9" s="7">
        <v>12200</v>
      </c>
      <c r="Q9" s="7">
        <v>12500</v>
      </c>
      <c r="R9" s="7">
        <v>12800</v>
      </c>
      <c r="S9" s="7">
        <v>13100</v>
      </c>
      <c r="T9" s="7">
        <v>13400</v>
      </c>
      <c r="U9" s="7">
        <v>13700</v>
      </c>
      <c r="V9" s="7">
        <v>14000</v>
      </c>
      <c r="W9" s="7">
        <v>14300</v>
      </c>
      <c r="X9" s="7">
        <v>14600</v>
      </c>
      <c r="Y9" s="7">
        <v>14900</v>
      </c>
    </row>
    <row r="10" spans="1:25">
      <c r="A10" s="2" t="s">
        <v>54</v>
      </c>
      <c r="B10" s="8">
        <v>5</v>
      </c>
      <c r="C10" s="8">
        <v>5</v>
      </c>
      <c r="D10" s="8">
        <v>5</v>
      </c>
      <c r="E10" s="8">
        <v>6</v>
      </c>
      <c r="F10" s="8">
        <v>6</v>
      </c>
      <c r="G10" s="8">
        <v>6</v>
      </c>
      <c r="H10" s="8">
        <v>7</v>
      </c>
      <c r="I10" s="8">
        <v>7</v>
      </c>
      <c r="J10" s="8">
        <v>7</v>
      </c>
      <c r="K10" s="8">
        <v>8</v>
      </c>
      <c r="L10" s="8">
        <v>8</v>
      </c>
      <c r="M10" s="8">
        <v>8</v>
      </c>
      <c r="N10" s="8">
        <v>9</v>
      </c>
      <c r="O10" s="8">
        <v>9</v>
      </c>
      <c r="P10" s="8">
        <v>9</v>
      </c>
      <c r="Q10" s="8">
        <v>10</v>
      </c>
      <c r="R10" s="8">
        <v>10</v>
      </c>
      <c r="S10" s="8">
        <v>10</v>
      </c>
      <c r="T10" s="8">
        <v>11</v>
      </c>
      <c r="U10" s="8">
        <v>11</v>
      </c>
      <c r="V10" s="8">
        <v>11</v>
      </c>
      <c r="W10" s="8">
        <v>12</v>
      </c>
      <c r="X10" s="8">
        <v>12</v>
      </c>
      <c r="Y10" s="8">
        <v>12</v>
      </c>
    </row>
    <row r="11" spans="1:25">
      <c r="A11" s="2" t="s">
        <v>55</v>
      </c>
      <c r="B11" s="9">
        <v>0.7</v>
      </c>
      <c r="C11" s="9">
        <v>0.705</v>
      </c>
      <c r="D11" s="9">
        <v>0.71</v>
      </c>
      <c r="E11" s="9">
        <v>0.715</v>
      </c>
      <c r="F11" s="9">
        <v>0.72</v>
      </c>
      <c r="G11" s="9">
        <v>0.725</v>
      </c>
      <c r="H11" s="9">
        <v>0.73</v>
      </c>
      <c r="I11" s="9">
        <v>0.735</v>
      </c>
      <c r="J11" s="9">
        <v>0.74</v>
      </c>
      <c r="K11" s="9">
        <v>0.745</v>
      </c>
      <c r="L11" s="9">
        <v>0.75</v>
      </c>
      <c r="M11" s="9">
        <v>0.755</v>
      </c>
      <c r="N11" s="9">
        <v>0.76</v>
      </c>
      <c r="O11" s="9">
        <v>0.7649999999999999</v>
      </c>
      <c r="P11" s="9">
        <v>0.77</v>
      </c>
      <c r="Q11" s="9">
        <v>0.7749999999999999</v>
      </c>
      <c r="R11" s="9">
        <v>0.7799999999999999</v>
      </c>
      <c r="S11" s="9">
        <v>0.7849999999999999</v>
      </c>
      <c r="T11" s="9">
        <v>0.7899999999999999</v>
      </c>
      <c r="U11" s="9">
        <v>0.7949999999999999</v>
      </c>
      <c r="V11" s="9">
        <v>0.7999999999999999</v>
      </c>
      <c r="W11" s="9">
        <v>0.7999999999999999</v>
      </c>
      <c r="X11" s="9">
        <v>0.7999999999999999</v>
      </c>
      <c r="Y11" s="9">
        <v>0.7999999999999999</v>
      </c>
    </row>
    <row r="12" spans="1:25">
      <c r="A12" s="2" t="s">
        <v>56</v>
      </c>
      <c r="B12" s="7">
        <v>15000</v>
      </c>
      <c r="C12" s="7">
        <v>14800</v>
      </c>
      <c r="D12" s="7">
        <v>14600</v>
      </c>
      <c r="E12" s="7">
        <v>14400</v>
      </c>
      <c r="F12" s="7">
        <v>14200</v>
      </c>
      <c r="G12" s="7">
        <v>14000</v>
      </c>
      <c r="H12" s="7">
        <v>13800</v>
      </c>
      <c r="I12" s="7">
        <v>13600</v>
      </c>
      <c r="J12" s="7">
        <v>13400</v>
      </c>
      <c r="K12" s="7">
        <v>13200</v>
      </c>
      <c r="L12" s="7">
        <v>13000</v>
      </c>
      <c r="M12" s="7">
        <v>12800</v>
      </c>
      <c r="N12" s="7">
        <v>12600</v>
      </c>
      <c r="O12" s="7">
        <v>12400</v>
      </c>
      <c r="P12" s="7">
        <v>12200</v>
      </c>
      <c r="Q12" s="7">
        <v>12000</v>
      </c>
      <c r="R12" s="7">
        <v>11800</v>
      </c>
      <c r="S12" s="7">
        <v>11600</v>
      </c>
      <c r="T12" s="7">
        <v>11400</v>
      </c>
      <c r="U12" s="7">
        <v>11200</v>
      </c>
      <c r="V12" s="7">
        <v>11000</v>
      </c>
      <c r="W12" s="7">
        <v>10800</v>
      </c>
      <c r="X12" s="7">
        <v>10600</v>
      </c>
      <c r="Y12" s="7">
        <v>10400</v>
      </c>
    </row>
    <row r="13" spans="1:25">
      <c r="A13" s="6" t="s">
        <v>57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s="2" t="s">
        <v>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2" t="s">
        <v>59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2" t="s">
        <v>60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2" t="s">
        <v>61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2" t="s">
        <v>62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2" t="s">
        <v>63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2" t="s">
        <v>64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>
      <c r="A21" s="2" t="s">
        <v>65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6" t="s">
        <v>66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>
      <c r="A23" s="2" t="s">
        <v>67</v>
      </c>
      <c r="B23" s="7">
        <v>850</v>
      </c>
    </row>
    <row r="24" spans="1:25">
      <c r="A24" s="2" t="s">
        <v>68</v>
      </c>
      <c r="B24" s="10">
        <v>79</v>
      </c>
    </row>
    <row r="25" spans="1:25">
      <c r="A25" s="2" t="s">
        <v>69</v>
      </c>
      <c r="B25" s="9">
        <v>0.1</v>
      </c>
    </row>
    <row r="26" spans="1:25">
      <c r="A26" s="2" t="s">
        <v>70</v>
      </c>
      <c r="B26" s="11" t="s">
        <v>71</v>
      </c>
    </row>
    <row r="27" spans="1:25">
      <c r="A27" s="2" t="s">
        <v>72</v>
      </c>
      <c r="B27" s="12">
        <v>3800</v>
      </c>
    </row>
  </sheetData>
  <mergeCells count="4">
    <mergeCell ref="A1:Y1"/>
    <mergeCell ref="A4:Y4"/>
    <mergeCell ref="A13:Y13"/>
    <mergeCell ref="A22:Y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cols>
    <col min="1" max="1" width="28.7109375" customWidth="1"/>
    <col min="2" max="26" width="11.7109375" customWidth="1"/>
  </cols>
  <sheetData>
    <row r="1" spans="1:25" ht="28" customHeight="1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>
      <c r="A3" s="5" t="s">
        <v>74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 t="s">
        <v>45</v>
      </c>
      <c r="X3" s="5" t="s">
        <v>46</v>
      </c>
      <c r="Y3" s="5" t="s">
        <v>47</v>
      </c>
    </row>
    <row r="4" spans="1:25">
      <c r="A4" s="2" t="s">
        <v>75</v>
      </c>
      <c r="B4" s="13">
        <f>'Monthly-Inputs'!B14</f>
        <v>0</v>
      </c>
      <c r="C4" s="13">
        <f>'Monthly-Inputs'!C14</f>
        <v>0</v>
      </c>
      <c r="D4" s="13">
        <f>'Monthly-Inputs'!D14</f>
        <v>0</v>
      </c>
      <c r="E4" s="13">
        <f>'Monthly-Inputs'!E14</f>
        <v>0</v>
      </c>
      <c r="F4" s="13">
        <f>'Monthly-Inputs'!F14</f>
        <v>0</v>
      </c>
      <c r="G4" s="13">
        <f>'Monthly-Inputs'!G14</f>
        <v>0</v>
      </c>
      <c r="H4" s="13">
        <f>'Monthly-Inputs'!H14</f>
        <v>0</v>
      </c>
      <c r="I4" s="13">
        <f>'Monthly-Inputs'!I14</f>
        <v>0</v>
      </c>
      <c r="J4" s="13">
        <f>'Monthly-Inputs'!J14</f>
        <v>0</v>
      </c>
      <c r="K4" s="13">
        <f>'Monthly-Inputs'!K14</f>
        <v>0</v>
      </c>
      <c r="L4" s="13">
        <f>'Monthly-Inputs'!L14</f>
        <v>0</v>
      </c>
      <c r="M4" s="13">
        <f>'Monthly-Inputs'!M14</f>
        <v>0</v>
      </c>
      <c r="N4" s="13">
        <f>'Monthly-Inputs'!N14</f>
        <v>0</v>
      </c>
      <c r="O4" s="13">
        <f>'Monthly-Inputs'!O14</f>
        <v>0</v>
      </c>
      <c r="P4" s="13">
        <f>'Monthly-Inputs'!P14</f>
        <v>0</v>
      </c>
      <c r="Q4" s="13">
        <f>'Monthly-Inputs'!Q14</f>
        <v>0</v>
      </c>
      <c r="R4" s="13">
        <f>'Monthly-Inputs'!R14</f>
        <v>0</v>
      </c>
      <c r="S4" s="13">
        <f>'Monthly-Inputs'!S14</f>
        <v>0</v>
      </c>
      <c r="T4" s="13">
        <f>'Monthly-Inputs'!T14</f>
        <v>0</v>
      </c>
      <c r="U4" s="13">
        <f>'Monthly-Inputs'!U14</f>
        <v>0</v>
      </c>
      <c r="V4" s="13">
        <f>'Monthly-Inputs'!V14</f>
        <v>0</v>
      </c>
      <c r="W4" s="13">
        <f>'Monthly-Inputs'!W14</f>
        <v>0</v>
      </c>
      <c r="X4" s="13">
        <f>'Monthly-Inputs'!X14</f>
        <v>0</v>
      </c>
      <c r="Y4" s="13">
        <f>'Monthly-Inputs'!Y14</f>
        <v>0</v>
      </c>
    </row>
    <row r="5" spans="1:25">
      <c r="A5" s="2" t="s">
        <v>76</v>
      </c>
      <c r="B5" s="13">
        <f>'Monthly-Inputs'!B14*12</f>
        <v>0</v>
      </c>
      <c r="C5" s="13">
        <f>'Monthly-Inputs'!C14*12</f>
        <v>0</v>
      </c>
      <c r="D5" s="13">
        <f>'Monthly-Inputs'!D14*12</f>
        <v>0</v>
      </c>
      <c r="E5" s="13">
        <f>'Monthly-Inputs'!E14*12</f>
        <v>0</v>
      </c>
      <c r="F5" s="13">
        <f>'Monthly-Inputs'!F14*12</f>
        <v>0</v>
      </c>
      <c r="G5" s="13">
        <f>'Monthly-Inputs'!G14*12</f>
        <v>0</v>
      </c>
      <c r="H5" s="13">
        <f>'Monthly-Inputs'!H14*12</f>
        <v>0</v>
      </c>
      <c r="I5" s="13">
        <f>'Monthly-Inputs'!I14*12</f>
        <v>0</v>
      </c>
      <c r="J5" s="13">
        <f>'Monthly-Inputs'!J14*12</f>
        <v>0</v>
      </c>
      <c r="K5" s="13">
        <f>'Monthly-Inputs'!K14*12</f>
        <v>0</v>
      </c>
      <c r="L5" s="13">
        <f>'Monthly-Inputs'!L14*12</f>
        <v>0</v>
      </c>
      <c r="M5" s="13">
        <f>'Monthly-Inputs'!M14*12</f>
        <v>0</v>
      </c>
      <c r="N5" s="13">
        <f>'Monthly-Inputs'!N14*12</f>
        <v>0</v>
      </c>
      <c r="O5" s="13">
        <f>'Monthly-Inputs'!O14*12</f>
        <v>0</v>
      </c>
      <c r="P5" s="13">
        <f>'Monthly-Inputs'!P14*12</f>
        <v>0</v>
      </c>
      <c r="Q5" s="13">
        <f>'Monthly-Inputs'!Q14*12</f>
        <v>0</v>
      </c>
      <c r="R5" s="13">
        <f>'Monthly-Inputs'!R14*12</f>
        <v>0</v>
      </c>
      <c r="S5" s="13">
        <f>'Monthly-Inputs'!S14*12</f>
        <v>0</v>
      </c>
      <c r="T5" s="13">
        <f>'Monthly-Inputs'!T14*12</f>
        <v>0</v>
      </c>
      <c r="U5" s="13">
        <f>'Monthly-Inputs'!U14*12</f>
        <v>0</v>
      </c>
      <c r="V5" s="13">
        <f>'Monthly-Inputs'!V14*12</f>
        <v>0</v>
      </c>
      <c r="W5" s="13">
        <f>'Monthly-Inputs'!W14*12</f>
        <v>0</v>
      </c>
      <c r="X5" s="13">
        <f>'Monthly-Inputs'!X14*12</f>
        <v>0</v>
      </c>
      <c r="Y5" s="13">
        <f>'Monthly-Inputs'!Y14*12</f>
        <v>0</v>
      </c>
    </row>
    <row r="6" spans="1:25">
      <c r="A6" s="2" t="s">
        <v>77</v>
      </c>
      <c r="B6" s="14"/>
      <c r="C6" s="14">
        <f>IFERROR('Monthly-Inputs'!C14/'Monthly-Inputs'!B14-1,0)</f>
        <v>0</v>
      </c>
      <c r="D6" s="14">
        <f>IFERROR('Monthly-Inputs'!D14/'Monthly-Inputs'!C14-1,0)</f>
        <v>0</v>
      </c>
      <c r="E6" s="14">
        <f>IFERROR('Monthly-Inputs'!E14/'Monthly-Inputs'!D14-1,0)</f>
        <v>0</v>
      </c>
      <c r="F6" s="14">
        <f>IFERROR('Monthly-Inputs'!F14/'Monthly-Inputs'!E14-1,0)</f>
        <v>0</v>
      </c>
      <c r="G6" s="14">
        <f>IFERROR('Monthly-Inputs'!G14/'Monthly-Inputs'!F14-1,0)</f>
        <v>0</v>
      </c>
      <c r="H6" s="14">
        <f>IFERROR('Monthly-Inputs'!H14/'Monthly-Inputs'!G14-1,0)</f>
        <v>0</v>
      </c>
      <c r="I6" s="14">
        <f>IFERROR('Monthly-Inputs'!I14/'Monthly-Inputs'!H14-1,0)</f>
        <v>0</v>
      </c>
      <c r="J6" s="14">
        <f>IFERROR('Monthly-Inputs'!J14/'Monthly-Inputs'!I14-1,0)</f>
        <v>0</v>
      </c>
      <c r="K6" s="14">
        <f>IFERROR('Monthly-Inputs'!K14/'Monthly-Inputs'!J14-1,0)</f>
        <v>0</v>
      </c>
      <c r="L6" s="14">
        <f>IFERROR('Monthly-Inputs'!L14/'Monthly-Inputs'!K14-1,0)</f>
        <v>0</v>
      </c>
      <c r="M6" s="14">
        <f>IFERROR('Monthly-Inputs'!M14/'Monthly-Inputs'!L14-1,0)</f>
        <v>0</v>
      </c>
      <c r="N6" s="14">
        <f>IFERROR('Monthly-Inputs'!N14/'Monthly-Inputs'!M14-1,0)</f>
        <v>0</v>
      </c>
      <c r="O6" s="14">
        <f>IFERROR('Monthly-Inputs'!O14/'Monthly-Inputs'!N14-1,0)</f>
        <v>0</v>
      </c>
      <c r="P6" s="14">
        <f>IFERROR('Monthly-Inputs'!P14/'Monthly-Inputs'!O14-1,0)</f>
        <v>0</v>
      </c>
      <c r="Q6" s="14">
        <f>IFERROR('Monthly-Inputs'!Q14/'Monthly-Inputs'!P14-1,0)</f>
        <v>0</v>
      </c>
      <c r="R6" s="14">
        <f>IFERROR('Monthly-Inputs'!R14/'Monthly-Inputs'!Q14-1,0)</f>
        <v>0</v>
      </c>
      <c r="S6" s="14">
        <f>IFERROR('Monthly-Inputs'!S14/'Monthly-Inputs'!R14-1,0)</f>
        <v>0</v>
      </c>
      <c r="T6" s="14">
        <f>IFERROR('Monthly-Inputs'!T14/'Monthly-Inputs'!S14-1,0)</f>
        <v>0</v>
      </c>
      <c r="U6" s="14">
        <f>IFERROR('Monthly-Inputs'!U14/'Monthly-Inputs'!T14-1,0)</f>
        <v>0</v>
      </c>
      <c r="V6" s="14">
        <f>IFERROR('Monthly-Inputs'!V14/'Monthly-Inputs'!U14-1,0)</f>
        <v>0</v>
      </c>
      <c r="W6" s="14">
        <f>IFERROR('Monthly-Inputs'!W14/'Monthly-Inputs'!V14-1,0)</f>
        <v>0</v>
      </c>
      <c r="X6" s="14">
        <f>IFERROR('Monthly-Inputs'!X14/'Monthly-Inputs'!W14-1,0)</f>
        <v>0</v>
      </c>
      <c r="Y6" s="14">
        <f>IFERROR('Monthly-Inputs'!Y14/'Monthly-Inputs'!X14-1,0)</f>
        <v>0</v>
      </c>
    </row>
    <row r="7" spans="1:25">
      <c r="A7" s="2" t="s">
        <v>78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>
        <f>IFERROR('Monthly-Inputs'!N14/'Monthly-Inputs'!B14-1,0)</f>
        <v>0</v>
      </c>
      <c r="O7" s="14">
        <f>IFERROR('Monthly-Inputs'!O14/'Monthly-Inputs'!C14-1,0)</f>
        <v>0</v>
      </c>
      <c r="P7" s="14">
        <f>IFERROR('Monthly-Inputs'!P14/'Monthly-Inputs'!D14-1,0)</f>
        <v>0</v>
      </c>
      <c r="Q7" s="14">
        <f>IFERROR('Monthly-Inputs'!Q14/'Monthly-Inputs'!E14-1,0)</f>
        <v>0</v>
      </c>
      <c r="R7" s="14">
        <f>IFERROR('Monthly-Inputs'!R14/'Monthly-Inputs'!F14-1,0)</f>
        <v>0</v>
      </c>
      <c r="S7" s="14">
        <f>IFERROR('Monthly-Inputs'!S14/'Monthly-Inputs'!G14-1,0)</f>
        <v>0</v>
      </c>
      <c r="T7" s="14">
        <f>IFERROR('Monthly-Inputs'!T14/'Monthly-Inputs'!H14-1,0)</f>
        <v>0</v>
      </c>
      <c r="U7" s="14">
        <f>IFERROR('Monthly-Inputs'!U14/'Monthly-Inputs'!I14-1,0)</f>
        <v>0</v>
      </c>
      <c r="V7" s="14">
        <f>IFERROR('Monthly-Inputs'!V14/'Monthly-Inputs'!J14-1,0)</f>
        <v>0</v>
      </c>
      <c r="W7" s="14">
        <f>IFERROR('Monthly-Inputs'!W14/'Monthly-Inputs'!K14-1,0)</f>
        <v>0</v>
      </c>
      <c r="X7" s="14">
        <f>IFERROR('Monthly-Inputs'!X14/'Monthly-Inputs'!L14-1,0)</f>
        <v>0</v>
      </c>
      <c r="Y7" s="14">
        <f>IFERROR('Monthly-Inputs'!Y14/'Monthly-Inputs'!M14-1,0)</f>
        <v>0</v>
      </c>
    </row>
    <row r="8" spans="1:25">
      <c r="A8" s="2" t="s">
        <v>79</v>
      </c>
      <c r="B8" s="14">
        <f>IFERROR('Monthly-Inputs'!B16/MAX(1,'Monthly-Inputs'!B14/ARPA_LP),0)</f>
        <v>0</v>
      </c>
      <c r="C8" s="14">
        <f>IFERROR('Monthly-Inputs'!C16/MAX(1,'Monthly-Inputs'!B14/ARPA_LP),0)</f>
        <v>0</v>
      </c>
      <c r="D8" s="14">
        <f>IFERROR('Monthly-Inputs'!D16/MAX(1,'Monthly-Inputs'!C14/ARPA_LP),0)</f>
        <v>0</v>
      </c>
      <c r="E8" s="14">
        <f>IFERROR('Monthly-Inputs'!E16/MAX(1,'Monthly-Inputs'!D14/ARPA_LP),0)</f>
        <v>0</v>
      </c>
      <c r="F8" s="14">
        <f>IFERROR('Monthly-Inputs'!F16/MAX(1,'Monthly-Inputs'!E14/ARPA_LP),0)</f>
        <v>0</v>
      </c>
      <c r="G8" s="14">
        <f>IFERROR('Monthly-Inputs'!G16/MAX(1,'Monthly-Inputs'!F14/ARPA_LP),0)</f>
        <v>0</v>
      </c>
      <c r="H8" s="14">
        <f>IFERROR('Monthly-Inputs'!H16/MAX(1,'Monthly-Inputs'!G14/ARPA_LP),0)</f>
        <v>0</v>
      </c>
      <c r="I8" s="14">
        <f>IFERROR('Monthly-Inputs'!I16/MAX(1,'Monthly-Inputs'!H14/ARPA_LP),0)</f>
        <v>0</v>
      </c>
      <c r="J8" s="14">
        <f>IFERROR('Monthly-Inputs'!J16/MAX(1,'Monthly-Inputs'!I14/ARPA_LP),0)</f>
        <v>0</v>
      </c>
      <c r="K8" s="14">
        <f>IFERROR('Monthly-Inputs'!K16/MAX(1,'Monthly-Inputs'!J14/ARPA_LP),0)</f>
        <v>0</v>
      </c>
      <c r="L8" s="14">
        <f>IFERROR('Monthly-Inputs'!L16/MAX(1,'Monthly-Inputs'!K14/ARPA_LP),0)</f>
        <v>0</v>
      </c>
      <c r="M8" s="14">
        <f>IFERROR('Monthly-Inputs'!M16/MAX(1,'Monthly-Inputs'!L14/ARPA_LP),0)</f>
        <v>0</v>
      </c>
      <c r="N8" s="14">
        <f>IFERROR('Monthly-Inputs'!N16/MAX(1,'Monthly-Inputs'!M14/ARPA_LP),0)</f>
        <v>0</v>
      </c>
      <c r="O8" s="14">
        <f>IFERROR('Monthly-Inputs'!O16/MAX(1,'Monthly-Inputs'!N14/ARPA_LP),0)</f>
        <v>0</v>
      </c>
      <c r="P8" s="14">
        <f>IFERROR('Monthly-Inputs'!P16/MAX(1,'Monthly-Inputs'!O14/ARPA_LP),0)</f>
        <v>0</v>
      </c>
      <c r="Q8" s="14">
        <f>IFERROR('Monthly-Inputs'!Q16/MAX(1,'Monthly-Inputs'!P14/ARPA_LP),0)</f>
        <v>0</v>
      </c>
      <c r="R8" s="14">
        <f>IFERROR('Monthly-Inputs'!R16/MAX(1,'Monthly-Inputs'!Q14/ARPA_LP),0)</f>
        <v>0</v>
      </c>
      <c r="S8" s="14">
        <f>IFERROR('Monthly-Inputs'!S16/MAX(1,'Monthly-Inputs'!R14/ARPA_LP),0)</f>
        <v>0</v>
      </c>
      <c r="T8" s="14">
        <f>IFERROR('Monthly-Inputs'!T16/MAX(1,'Monthly-Inputs'!S14/ARPA_LP),0)</f>
        <v>0</v>
      </c>
      <c r="U8" s="14">
        <f>IFERROR('Monthly-Inputs'!U16/MAX(1,'Monthly-Inputs'!T14/ARPA_LP),0)</f>
        <v>0</v>
      </c>
      <c r="V8" s="14">
        <f>IFERROR('Monthly-Inputs'!V16/MAX(1,'Monthly-Inputs'!U14/ARPA_LP),0)</f>
        <v>0</v>
      </c>
      <c r="W8" s="14">
        <f>IFERROR('Monthly-Inputs'!W16/MAX(1,'Monthly-Inputs'!V14/ARPA_LP),0)</f>
        <v>0</v>
      </c>
      <c r="X8" s="14">
        <f>IFERROR('Monthly-Inputs'!X16/MAX(1,'Monthly-Inputs'!W14/ARPA_LP),0)</f>
        <v>0</v>
      </c>
      <c r="Y8" s="14">
        <f>IFERROR('Monthly-Inputs'!Y16/MAX(1,'Monthly-Inputs'!X14/ARPA_LP),0)</f>
        <v>0</v>
      </c>
    </row>
    <row r="9" spans="1:25">
      <c r="A9" s="2" t="s">
        <v>80</v>
      </c>
      <c r="B9" s="14">
        <f>IFERROR('Monthly-Inputs'!B17/MAX(1,'Monthly-Inputs'!B14),0)</f>
        <v>0</v>
      </c>
      <c r="C9" s="14">
        <f>IFERROR('Monthly-Inputs'!C17/MAX(1,'Monthly-Inputs'!B14),0)</f>
        <v>0</v>
      </c>
      <c r="D9" s="14">
        <f>IFERROR('Monthly-Inputs'!D17/MAX(1,'Monthly-Inputs'!C14),0)</f>
        <v>0</v>
      </c>
      <c r="E9" s="14">
        <f>IFERROR('Monthly-Inputs'!E17/MAX(1,'Monthly-Inputs'!D14),0)</f>
        <v>0</v>
      </c>
      <c r="F9" s="14">
        <f>IFERROR('Monthly-Inputs'!F17/MAX(1,'Monthly-Inputs'!E14),0)</f>
        <v>0</v>
      </c>
      <c r="G9" s="14">
        <f>IFERROR('Monthly-Inputs'!G17/MAX(1,'Monthly-Inputs'!F14),0)</f>
        <v>0</v>
      </c>
      <c r="H9" s="14">
        <f>IFERROR('Monthly-Inputs'!H17/MAX(1,'Monthly-Inputs'!G14),0)</f>
        <v>0</v>
      </c>
      <c r="I9" s="14">
        <f>IFERROR('Monthly-Inputs'!I17/MAX(1,'Monthly-Inputs'!H14),0)</f>
        <v>0</v>
      </c>
      <c r="J9" s="14">
        <f>IFERROR('Monthly-Inputs'!J17/MAX(1,'Monthly-Inputs'!I14),0)</f>
        <v>0</v>
      </c>
      <c r="K9" s="14">
        <f>IFERROR('Monthly-Inputs'!K17/MAX(1,'Monthly-Inputs'!J14),0)</f>
        <v>0</v>
      </c>
      <c r="L9" s="14">
        <f>IFERROR('Monthly-Inputs'!L17/MAX(1,'Monthly-Inputs'!K14),0)</f>
        <v>0</v>
      </c>
      <c r="M9" s="14">
        <f>IFERROR('Monthly-Inputs'!M17/MAX(1,'Monthly-Inputs'!L14),0)</f>
        <v>0</v>
      </c>
      <c r="N9" s="14">
        <f>IFERROR('Monthly-Inputs'!N17/MAX(1,'Monthly-Inputs'!M14),0)</f>
        <v>0</v>
      </c>
      <c r="O9" s="14">
        <f>IFERROR('Monthly-Inputs'!O17/MAX(1,'Monthly-Inputs'!N14),0)</f>
        <v>0</v>
      </c>
      <c r="P9" s="14">
        <f>IFERROR('Monthly-Inputs'!P17/MAX(1,'Monthly-Inputs'!O14),0)</f>
        <v>0</v>
      </c>
      <c r="Q9" s="14">
        <f>IFERROR('Monthly-Inputs'!Q17/MAX(1,'Monthly-Inputs'!P14),0)</f>
        <v>0</v>
      </c>
      <c r="R9" s="14">
        <f>IFERROR('Monthly-Inputs'!R17/MAX(1,'Monthly-Inputs'!Q14),0)</f>
        <v>0</v>
      </c>
      <c r="S9" s="14">
        <f>IFERROR('Monthly-Inputs'!S17/MAX(1,'Monthly-Inputs'!R14),0)</f>
        <v>0</v>
      </c>
      <c r="T9" s="14">
        <f>IFERROR('Monthly-Inputs'!T17/MAX(1,'Monthly-Inputs'!S14),0)</f>
        <v>0</v>
      </c>
      <c r="U9" s="14">
        <f>IFERROR('Monthly-Inputs'!U17/MAX(1,'Monthly-Inputs'!T14),0)</f>
        <v>0</v>
      </c>
      <c r="V9" s="14">
        <f>IFERROR('Monthly-Inputs'!V17/MAX(1,'Monthly-Inputs'!U14),0)</f>
        <v>0</v>
      </c>
      <c r="W9" s="14">
        <f>IFERROR('Monthly-Inputs'!W17/MAX(1,'Monthly-Inputs'!V14),0)</f>
        <v>0</v>
      </c>
      <c r="X9" s="14">
        <f>IFERROR('Monthly-Inputs'!X17/MAX(1,'Monthly-Inputs'!W14),0)</f>
        <v>0</v>
      </c>
      <c r="Y9" s="14">
        <f>IFERROR('Monthly-Inputs'!Y17/MAX(1,'Monthly-Inputs'!X14),0)</f>
        <v>0</v>
      </c>
    </row>
    <row r="10" spans="1:25">
      <c r="A10" s="2" t="s">
        <v>81</v>
      </c>
      <c r="B10" s="14">
        <f>1+(IFERROR('Monthly-Inputs'!B17/MAX(1,'Monthly-Inputs'!B14),0)-IFERROR('Monthly-Inputs'!B16/MAX(1,'Monthly-Inputs'!B14/ARPA_LP)*ARPA_LP/MAX(1,'Monthly-Inputs'!B14),0))*12</f>
        <v>0</v>
      </c>
      <c r="C10" s="14">
        <f>1+(IFERROR('Monthly-Inputs'!C17/MAX(1,'Monthly-Inputs'!B14),0)-IFERROR('Monthly-Inputs'!C16/MAX(1,'Monthly-Inputs'!B14/ARPA_LP)*ARPA_LP/MAX(1,'Monthly-Inputs'!B14),0))*12</f>
        <v>0</v>
      </c>
      <c r="D10" s="14">
        <f>1+(IFERROR('Monthly-Inputs'!D17/MAX(1,'Monthly-Inputs'!C14),0)-IFERROR('Monthly-Inputs'!D16/MAX(1,'Monthly-Inputs'!C14/ARPA_LP)*ARPA_LP/MAX(1,'Monthly-Inputs'!C14),0))*12</f>
        <v>0</v>
      </c>
      <c r="E10" s="14">
        <f>1+(IFERROR('Monthly-Inputs'!E17/MAX(1,'Monthly-Inputs'!D14),0)-IFERROR('Monthly-Inputs'!E16/MAX(1,'Monthly-Inputs'!D14/ARPA_LP)*ARPA_LP/MAX(1,'Monthly-Inputs'!D14),0))*12</f>
        <v>0</v>
      </c>
      <c r="F10" s="14">
        <f>1+(IFERROR('Monthly-Inputs'!F17/MAX(1,'Monthly-Inputs'!E14),0)-IFERROR('Monthly-Inputs'!F16/MAX(1,'Monthly-Inputs'!E14/ARPA_LP)*ARPA_LP/MAX(1,'Monthly-Inputs'!E14),0))*12</f>
        <v>0</v>
      </c>
      <c r="G10" s="14">
        <f>1+(IFERROR('Monthly-Inputs'!G17/MAX(1,'Monthly-Inputs'!F14),0)-IFERROR('Monthly-Inputs'!G16/MAX(1,'Monthly-Inputs'!F14/ARPA_LP)*ARPA_LP/MAX(1,'Monthly-Inputs'!F14),0))*12</f>
        <v>0</v>
      </c>
      <c r="H10" s="14">
        <f>1+(IFERROR('Monthly-Inputs'!H17/MAX(1,'Monthly-Inputs'!G14),0)-IFERROR('Monthly-Inputs'!H16/MAX(1,'Monthly-Inputs'!G14/ARPA_LP)*ARPA_LP/MAX(1,'Monthly-Inputs'!G14),0))*12</f>
        <v>0</v>
      </c>
      <c r="I10" s="14">
        <f>1+(IFERROR('Monthly-Inputs'!I17/MAX(1,'Monthly-Inputs'!H14),0)-IFERROR('Monthly-Inputs'!I16/MAX(1,'Monthly-Inputs'!H14/ARPA_LP)*ARPA_LP/MAX(1,'Monthly-Inputs'!H14),0))*12</f>
        <v>0</v>
      </c>
      <c r="J10" s="14">
        <f>1+(IFERROR('Monthly-Inputs'!J17/MAX(1,'Monthly-Inputs'!I14),0)-IFERROR('Monthly-Inputs'!J16/MAX(1,'Monthly-Inputs'!I14/ARPA_LP)*ARPA_LP/MAX(1,'Monthly-Inputs'!I14),0))*12</f>
        <v>0</v>
      </c>
      <c r="K10" s="14">
        <f>1+(IFERROR('Monthly-Inputs'!K17/MAX(1,'Monthly-Inputs'!J14),0)-IFERROR('Monthly-Inputs'!K16/MAX(1,'Monthly-Inputs'!J14/ARPA_LP)*ARPA_LP/MAX(1,'Monthly-Inputs'!J14),0))*12</f>
        <v>0</v>
      </c>
      <c r="L10" s="14">
        <f>1+(IFERROR('Monthly-Inputs'!L17/MAX(1,'Monthly-Inputs'!K14),0)-IFERROR('Monthly-Inputs'!L16/MAX(1,'Monthly-Inputs'!K14/ARPA_LP)*ARPA_LP/MAX(1,'Monthly-Inputs'!K14),0))*12</f>
        <v>0</v>
      </c>
      <c r="M10" s="14">
        <f>1+(IFERROR('Monthly-Inputs'!M17/MAX(1,'Monthly-Inputs'!L14),0)-IFERROR('Monthly-Inputs'!M16/MAX(1,'Monthly-Inputs'!L14/ARPA_LP)*ARPA_LP/MAX(1,'Monthly-Inputs'!L14),0))*12</f>
        <v>0</v>
      </c>
      <c r="N10" s="14">
        <f>1+(IFERROR('Monthly-Inputs'!N17/MAX(1,'Monthly-Inputs'!M14),0)-IFERROR('Monthly-Inputs'!N16/MAX(1,'Monthly-Inputs'!M14/ARPA_LP)*ARPA_LP/MAX(1,'Monthly-Inputs'!M14),0))*12</f>
        <v>0</v>
      </c>
      <c r="O10" s="14">
        <f>1+(IFERROR('Monthly-Inputs'!O17/MAX(1,'Monthly-Inputs'!N14),0)-IFERROR('Monthly-Inputs'!O16/MAX(1,'Monthly-Inputs'!N14/ARPA_LP)*ARPA_LP/MAX(1,'Monthly-Inputs'!N14),0))*12</f>
        <v>0</v>
      </c>
      <c r="P10" s="14">
        <f>1+(IFERROR('Monthly-Inputs'!P17/MAX(1,'Monthly-Inputs'!O14),0)-IFERROR('Monthly-Inputs'!P16/MAX(1,'Monthly-Inputs'!O14/ARPA_LP)*ARPA_LP/MAX(1,'Monthly-Inputs'!O14),0))*12</f>
        <v>0</v>
      </c>
      <c r="Q10" s="14">
        <f>1+(IFERROR('Monthly-Inputs'!Q17/MAX(1,'Monthly-Inputs'!P14),0)-IFERROR('Monthly-Inputs'!Q16/MAX(1,'Monthly-Inputs'!P14/ARPA_LP)*ARPA_LP/MAX(1,'Monthly-Inputs'!P14),0))*12</f>
        <v>0</v>
      </c>
      <c r="R10" s="14">
        <f>1+(IFERROR('Monthly-Inputs'!R17/MAX(1,'Monthly-Inputs'!Q14),0)-IFERROR('Monthly-Inputs'!R16/MAX(1,'Monthly-Inputs'!Q14/ARPA_LP)*ARPA_LP/MAX(1,'Monthly-Inputs'!Q14),0))*12</f>
        <v>0</v>
      </c>
      <c r="S10" s="14">
        <f>1+(IFERROR('Monthly-Inputs'!S17/MAX(1,'Monthly-Inputs'!R14),0)-IFERROR('Monthly-Inputs'!S16/MAX(1,'Monthly-Inputs'!R14/ARPA_LP)*ARPA_LP/MAX(1,'Monthly-Inputs'!R14),0))*12</f>
        <v>0</v>
      </c>
      <c r="T10" s="14">
        <f>1+(IFERROR('Monthly-Inputs'!T17/MAX(1,'Monthly-Inputs'!S14),0)-IFERROR('Monthly-Inputs'!T16/MAX(1,'Monthly-Inputs'!S14/ARPA_LP)*ARPA_LP/MAX(1,'Monthly-Inputs'!S14),0))*12</f>
        <v>0</v>
      </c>
      <c r="U10" s="14">
        <f>1+(IFERROR('Monthly-Inputs'!U17/MAX(1,'Monthly-Inputs'!T14),0)-IFERROR('Monthly-Inputs'!U16/MAX(1,'Monthly-Inputs'!T14/ARPA_LP)*ARPA_LP/MAX(1,'Monthly-Inputs'!T14),0))*12</f>
        <v>0</v>
      </c>
      <c r="V10" s="14">
        <f>1+(IFERROR('Monthly-Inputs'!V17/MAX(1,'Monthly-Inputs'!U14),0)-IFERROR('Monthly-Inputs'!V16/MAX(1,'Monthly-Inputs'!U14/ARPA_LP)*ARPA_LP/MAX(1,'Monthly-Inputs'!U14),0))*12</f>
        <v>0</v>
      </c>
      <c r="W10" s="14">
        <f>1+(IFERROR('Monthly-Inputs'!W17/MAX(1,'Monthly-Inputs'!V14),0)-IFERROR('Monthly-Inputs'!W16/MAX(1,'Monthly-Inputs'!V14/ARPA_LP)*ARPA_LP/MAX(1,'Monthly-Inputs'!V14),0))*12</f>
        <v>0</v>
      </c>
      <c r="X10" s="14">
        <f>1+(IFERROR('Monthly-Inputs'!X17/MAX(1,'Monthly-Inputs'!W14),0)-IFERROR('Monthly-Inputs'!X16/MAX(1,'Monthly-Inputs'!W14/ARPA_LP)*ARPA_LP/MAX(1,'Monthly-Inputs'!W14),0))*12</f>
        <v>0</v>
      </c>
      <c r="Y10" s="14">
        <f>1+(IFERROR('Monthly-Inputs'!Y17/MAX(1,'Monthly-Inputs'!X14),0)-IFERROR('Monthly-Inputs'!Y16/MAX(1,'Monthly-Inputs'!X14/ARPA_LP)*ARPA_LP/MAX(1,'Monthly-Inputs'!X14),0))*12</f>
        <v>0</v>
      </c>
    </row>
    <row r="11" spans="1:25">
      <c r="A11" s="2" t="s">
        <v>82</v>
      </c>
      <c r="B11" s="14">
        <f>MAX(0,1-IFERROR('Monthly-Inputs'!B16*ARPA_LP/MAX(1,'Monthly-Inputs'!B14),0)*12)</f>
        <v>0</v>
      </c>
      <c r="C11" s="14">
        <f>MAX(0,1-IFERROR('Monthly-Inputs'!C16*ARPA_LP/MAX(1,'Monthly-Inputs'!B14),0)*12)</f>
        <v>0</v>
      </c>
      <c r="D11" s="14">
        <f>MAX(0,1-IFERROR('Monthly-Inputs'!D16*ARPA_LP/MAX(1,'Monthly-Inputs'!C14),0)*12)</f>
        <v>0</v>
      </c>
      <c r="E11" s="14">
        <f>MAX(0,1-IFERROR('Monthly-Inputs'!E16*ARPA_LP/MAX(1,'Monthly-Inputs'!D14),0)*12)</f>
        <v>0</v>
      </c>
      <c r="F11" s="14">
        <f>MAX(0,1-IFERROR('Monthly-Inputs'!F16*ARPA_LP/MAX(1,'Monthly-Inputs'!E14),0)*12)</f>
        <v>0</v>
      </c>
      <c r="G11" s="14">
        <f>MAX(0,1-IFERROR('Monthly-Inputs'!G16*ARPA_LP/MAX(1,'Monthly-Inputs'!F14),0)*12)</f>
        <v>0</v>
      </c>
      <c r="H11" s="14">
        <f>MAX(0,1-IFERROR('Monthly-Inputs'!H16*ARPA_LP/MAX(1,'Monthly-Inputs'!G14),0)*12)</f>
        <v>0</v>
      </c>
      <c r="I11" s="14">
        <f>MAX(0,1-IFERROR('Monthly-Inputs'!I16*ARPA_LP/MAX(1,'Monthly-Inputs'!H14),0)*12)</f>
        <v>0</v>
      </c>
      <c r="J11" s="14">
        <f>MAX(0,1-IFERROR('Monthly-Inputs'!J16*ARPA_LP/MAX(1,'Monthly-Inputs'!I14),0)*12)</f>
        <v>0</v>
      </c>
      <c r="K11" s="14">
        <f>MAX(0,1-IFERROR('Monthly-Inputs'!K16*ARPA_LP/MAX(1,'Monthly-Inputs'!J14),0)*12)</f>
        <v>0</v>
      </c>
      <c r="L11" s="14">
        <f>MAX(0,1-IFERROR('Monthly-Inputs'!L16*ARPA_LP/MAX(1,'Monthly-Inputs'!K14),0)*12)</f>
        <v>0</v>
      </c>
      <c r="M11" s="14">
        <f>MAX(0,1-IFERROR('Monthly-Inputs'!M16*ARPA_LP/MAX(1,'Monthly-Inputs'!L14),0)*12)</f>
        <v>0</v>
      </c>
      <c r="N11" s="14">
        <f>MAX(0,1-IFERROR('Monthly-Inputs'!N16*ARPA_LP/MAX(1,'Monthly-Inputs'!M14),0)*12)</f>
        <v>0</v>
      </c>
      <c r="O11" s="14">
        <f>MAX(0,1-IFERROR('Monthly-Inputs'!O16*ARPA_LP/MAX(1,'Monthly-Inputs'!N14),0)*12)</f>
        <v>0</v>
      </c>
      <c r="P11" s="14">
        <f>MAX(0,1-IFERROR('Monthly-Inputs'!P16*ARPA_LP/MAX(1,'Monthly-Inputs'!O14),0)*12)</f>
        <v>0</v>
      </c>
      <c r="Q11" s="14">
        <f>MAX(0,1-IFERROR('Monthly-Inputs'!Q16*ARPA_LP/MAX(1,'Monthly-Inputs'!P14),0)*12)</f>
        <v>0</v>
      </c>
      <c r="R11" s="14">
        <f>MAX(0,1-IFERROR('Monthly-Inputs'!R16*ARPA_LP/MAX(1,'Monthly-Inputs'!Q14),0)*12)</f>
        <v>0</v>
      </c>
      <c r="S11" s="14">
        <f>MAX(0,1-IFERROR('Monthly-Inputs'!S16*ARPA_LP/MAX(1,'Monthly-Inputs'!R14),0)*12)</f>
        <v>0</v>
      </c>
      <c r="T11" s="14">
        <f>MAX(0,1-IFERROR('Monthly-Inputs'!T16*ARPA_LP/MAX(1,'Monthly-Inputs'!S14),0)*12)</f>
        <v>0</v>
      </c>
      <c r="U11" s="14">
        <f>MAX(0,1-IFERROR('Monthly-Inputs'!U16*ARPA_LP/MAX(1,'Monthly-Inputs'!T14),0)*12)</f>
        <v>0</v>
      </c>
      <c r="V11" s="14">
        <f>MAX(0,1-IFERROR('Monthly-Inputs'!V16*ARPA_LP/MAX(1,'Monthly-Inputs'!U14),0)*12)</f>
        <v>0</v>
      </c>
      <c r="W11" s="14">
        <f>MAX(0,1-IFERROR('Monthly-Inputs'!W16*ARPA_LP/MAX(1,'Monthly-Inputs'!V14),0)*12)</f>
        <v>0</v>
      </c>
      <c r="X11" s="14">
        <f>MAX(0,1-IFERROR('Monthly-Inputs'!X16*ARPA_LP/MAX(1,'Monthly-Inputs'!W14),0)*12)</f>
        <v>0</v>
      </c>
      <c r="Y11" s="14">
        <f>MAX(0,1-IFERROR('Monthly-Inputs'!Y16*ARPA_LP/MAX(1,'Monthly-Inputs'!X14),0)*12)</f>
        <v>0</v>
      </c>
    </row>
    <row r="12" spans="1:25">
      <c r="A12" s="2" t="s">
        <v>83</v>
      </c>
      <c r="B12" s="15"/>
      <c r="C12" s="15"/>
      <c r="D12" s="15"/>
      <c r="E12" s="15">
        <f>IFERROR(('Monthly-Inputs'!E14-'Monthly-Inputs'!B14)*4/('Monthly-Inputs'!D18+'Monthly-Inputs'!C18+'Monthly-Inputs'!B18),0)</f>
        <v>0</v>
      </c>
      <c r="F12" s="15">
        <f>IFERROR(('Monthly-Inputs'!F14-'Monthly-Inputs'!C14)*4/('Monthly-Inputs'!E18+'Monthly-Inputs'!D18+'Monthly-Inputs'!C18),0)</f>
        <v>0</v>
      </c>
      <c r="G12" s="15">
        <f>IFERROR(('Monthly-Inputs'!G14-'Monthly-Inputs'!D14)*4/('Monthly-Inputs'!F18+'Monthly-Inputs'!E18+'Monthly-Inputs'!D18),0)</f>
        <v>0</v>
      </c>
      <c r="H12" s="15">
        <f>IFERROR(('Monthly-Inputs'!H14-'Monthly-Inputs'!E14)*4/('Monthly-Inputs'!G18+'Monthly-Inputs'!F18+'Monthly-Inputs'!E18),0)</f>
        <v>0</v>
      </c>
      <c r="I12" s="15">
        <f>IFERROR(('Monthly-Inputs'!I14-'Monthly-Inputs'!F14)*4/('Monthly-Inputs'!H18+'Monthly-Inputs'!G18+'Monthly-Inputs'!F18),0)</f>
        <v>0</v>
      </c>
      <c r="J12" s="15">
        <f>IFERROR(('Monthly-Inputs'!J14-'Monthly-Inputs'!G14)*4/('Monthly-Inputs'!I18+'Monthly-Inputs'!H18+'Monthly-Inputs'!G18),0)</f>
        <v>0</v>
      </c>
      <c r="K12" s="15">
        <f>IFERROR(('Monthly-Inputs'!K14-'Monthly-Inputs'!H14)*4/('Monthly-Inputs'!J18+'Monthly-Inputs'!I18+'Monthly-Inputs'!H18),0)</f>
        <v>0</v>
      </c>
      <c r="L12" s="15">
        <f>IFERROR(('Monthly-Inputs'!L14-'Monthly-Inputs'!I14)*4/('Monthly-Inputs'!K18+'Monthly-Inputs'!J18+'Monthly-Inputs'!I18),0)</f>
        <v>0</v>
      </c>
      <c r="M12" s="15">
        <f>IFERROR(('Monthly-Inputs'!M14-'Monthly-Inputs'!J14)*4/('Monthly-Inputs'!L18+'Monthly-Inputs'!K18+'Monthly-Inputs'!J18),0)</f>
        <v>0</v>
      </c>
      <c r="N12" s="15">
        <f>IFERROR(('Monthly-Inputs'!N14-'Monthly-Inputs'!K14)*4/('Monthly-Inputs'!M18+'Monthly-Inputs'!L18+'Monthly-Inputs'!K18),0)</f>
        <v>0</v>
      </c>
      <c r="O12" s="15">
        <f>IFERROR(('Monthly-Inputs'!O14-'Monthly-Inputs'!L14)*4/('Monthly-Inputs'!N18+'Monthly-Inputs'!M18+'Monthly-Inputs'!L18),0)</f>
        <v>0</v>
      </c>
      <c r="P12" s="15">
        <f>IFERROR(('Monthly-Inputs'!P14-'Monthly-Inputs'!M14)*4/('Monthly-Inputs'!O18+'Monthly-Inputs'!N18+'Monthly-Inputs'!M18),0)</f>
        <v>0</v>
      </c>
      <c r="Q12" s="15">
        <f>IFERROR(('Monthly-Inputs'!Q14-'Monthly-Inputs'!N14)*4/('Monthly-Inputs'!P18+'Monthly-Inputs'!O18+'Monthly-Inputs'!N18),0)</f>
        <v>0</v>
      </c>
      <c r="R12" s="15">
        <f>IFERROR(('Monthly-Inputs'!R14-'Monthly-Inputs'!O14)*4/('Monthly-Inputs'!Q18+'Monthly-Inputs'!P18+'Monthly-Inputs'!O18),0)</f>
        <v>0</v>
      </c>
      <c r="S12" s="15">
        <f>IFERROR(('Monthly-Inputs'!S14-'Monthly-Inputs'!P14)*4/('Monthly-Inputs'!R18+'Monthly-Inputs'!Q18+'Monthly-Inputs'!P18),0)</f>
        <v>0</v>
      </c>
      <c r="T12" s="15">
        <f>IFERROR(('Monthly-Inputs'!T14-'Monthly-Inputs'!Q14)*4/('Monthly-Inputs'!S18+'Monthly-Inputs'!R18+'Monthly-Inputs'!Q18),0)</f>
        <v>0</v>
      </c>
      <c r="U12" s="15">
        <f>IFERROR(('Monthly-Inputs'!U14-'Monthly-Inputs'!R14)*4/('Monthly-Inputs'!T18+'Monthly-Inputs'!S18+'Monthly-Inputs'!R18),0)</f>
        <v>0</v>
      </c>
      <c r="V12" s="15">
        <f>IFERROR(('Monthly-Inputs'!V14-'Monthly-Inputs'!S14)*4/('Monthly-Inputs'!U18+'Monthly-Inputs'!T18+'Monthly-Inputs'!S18),0)</f>
        <v>0</v>
      </c>
      <c r="W12" s="15">
        <f>IFERROR(('Monthly-Inputs'!W14-'Monthly-Inputs'!T14)*4/('Monthly-Inputs'!V18+'Monthly-Inputs'!U18+'Monthly-Inputs'!T18),0)</f>
        <v>0</v>
      </c>
      <c r="X12" s="15">
        <f>IFERROR(('Monthly-Inputs'!X14-'Monthly-Inputs'!U14)*4/('Monthly-Inputs'!W18+'Monthly-Inputs'!V18+'Monthly-Inputs'!U18),0)</f>
        <v>0</v>
      </c>
      <c r="Y12" s="15">
        <f>IFERROR(('Monthly-Inputs'!Y14-'Monthly-Inputs'!V14)*4/('Monthly-Inputs'!X18+'Monthly-Inputs'!W18+'Monthly-Inputs'!V18),0)</f>
        <v>0</v>
      </c>
    </row>
    <row r="13" spans="1:25">
      <c r="A13" s="2" t="s">
        <v>84</v>
      </c>
      <c r="B13" s="15">
        <f>IFERROR(CAC_LP/(ARPA_LP*'Monthly-Inputs'!B20),0)</f>
        <v>0</v>
      </c>
      <c r="C13" s="15">
        <f>IFERROR(CAC_LP/(ARPA_LP*'Monthly-Inputs'!C20),0)</f>
        <v>0</v>
      </c>
      <c r="D13" s="15">
        <f>IFERROR(CAC_LP/(ARPA_LP*'Monthly-Inputs'!D20),0)</f>
        <v>0</v>
      </c>
      <c r="E13" s="15">
        <f>IFERROR(CAC_LP/(ARPA_LP*'Monthly-Inputs'!E20),0)</f>
        <v>0</v>
      </c>
      <c r="F13" s="15">
        <f>IFERROR(CAC_LP/(ARPA_LP*'Monthly-Inputs'!F20),0)</f>
        <v>0</v>
      </c>
      <c r="G13" s="15">
        <f>IFERROR(CAC_LP/(ARPA_LP*'Monthly-Inputs'!G20),0)</f>
        <v>0</v>
      </c>
      <c r="H13" s="15">
        <f>IFERROR(CAC_LP/(ARPA_LP*'Monthly-Inputs'!H20),0)</f>
        <v>0</v>
      </c>
      <c r="I13" s="15">
        <f>IFERROR(CAC_LP/(ARPA_LP*'Monthly-Inputs'!I20),0)</f>
        <v>0</v>
      </c>
      <c r="J13" s="15">
        <f>IFERROR(CAC_LP/(ARPA_LP*'Monthly-Inputs'!J20),0)</f>
        <v>0</v>
      </c>
      <c r="K13" s="15">
        <f>IFERROR(CAC_LP/(ARPA_LP*'Monthly-Inputs'!K20),0)</f>
        <v>0</v>
      </c>
      <c r="L13" s="15">
        <f>IFERROR(CAC_LP/(ARPA_LP*'Monthly-Inputs'!L20),0)</f>
        <v>0</v>
      </c>
      <c r="M13" s="15">
        <f>IFERROR(CAC_LP/(ARPA_LP*'Monthly-Inputs'!M20),0)</f>
        <v>0</v>
      </c>
      <c r="N13" s="15">
        <f>IFERROR(CAC_LP/(ARPA_LP*'Monthly-Inputs'!N20),0)</f>
        <v>0</v>
      </c>
      <c r="O13" s="15">
        <f>IFERROR(CAC_LP/(ARPA_LP*'Monthly-Inputs'!O20),0)</f>
        <v>0</v>
      </c>
      <c r="P13" s="15">
        <f>IFERROR(CAC_LP/(ARPA_LP*'Monthly-Inputs'!P20),0)</f>
        <v>0</v>
      </c>
      <c r="Q13" s="15">
        <f>IFERROR(CAC_LP/(ARPA_LP*'Monthly-Inputs'!Q20),0)</f>
        <v>0</v>
      </c>
      <c r="R13" s="15">
        <f>IFERROR(CAC_LP/(ARPA_LP*'Monthly-Inputs'!R20),0)</f>
        <v>0</v>
      </c>
      <c r="S13" s="15">
        <f>IFERROR(CAC_LP/(ARPA_LP*'Monthly-Inputs'!S20),0)</f>
        <v>0</v>
      </c>
      <c r="T13" s="15">
        <f>IFERROR(CAC_LP/(ARPA_LP*'Monthly-Inputs'!T20),0)</f>
        <v>0</v>
      </c>
      <c r="U13" s="15">
        <f>IFERROR(CAC_LP/(ARPA_LP*'Monthly-Inputs'!U20),0)</f>
        <v>0</v>
      </c>
      <c r="V13" s="15">
        <f>IFERROR(CAC_LP/(ARPA_LP*'Monthly-Inputs'!V20),0)</f>
        <v>0</v>
      </c>
      <c r="W13" s="15">
        <f>IFERROR(CAC_LP/(ARPA_LP*'Monthly-Inputs'!W20),0)</f>
        <v>0</v>
      </c>
      <c r="X13" s="15">
        <f>IFERROR(CAC_LP/(ARPA_LP*'Monthly-Inputs'!X20),0)</f>
        <v>0</v>
      </c>
      <c r="Y13" s="15">
        <f>IFERROR(CAC_LP/(ARPA_LP*'Monthly-Inputs'!Y20),0)</f>
        <v>0</v>
      </c>
    </row>
    <row r="14" spans="1:25">
      <c r="A14" s="2" t="s">
        <v>85</v>
      </c>
      <c r="B14" s="15">
        <f>IFERROR((ARPA_LP*'Monthly-Inputs'!B20/MAX(0.001,IFERROR('Monthly-Inputs'!B16/MAX(1,'Monthly-Inputs'!B14/ARPA_LP),0)))/CAC_LP,0)</f>
        <v>0</v>
      </c>
      <c r="C14" s="15">
        <f>IFERROR((ARPA_LP*'Monthly-Inputs'!C20/MAX(0.001,IFERROR('Monthly-Inputs'!C16/MAX(1,'Monthly-Inputs'!B14/ARPA_LP),0)))/CAC_LP,0)</f>
        <v>0</v>
      </c>
      <c r="D14" s="15">
        <f>IFERROR((ARPA_LP*'Monthly-Inputs'!D20/MAX(0.001,IFERROR('Monthly-Inputs'!D16/MAX(1,'Monthly-Inputs'!C14/ARPA_LP),0)))/CAC_LP,0)</f>
        <v>0</v>
      </c>
      <c r="E14" s="15">
        <f>IFERROR((ARPA_LP*'Monthly-Inputs'!E20/MAX(0.001,IFERROR('Monthly-Inputs'!E16/MAX(1,'Monthly-Inputs'!D14/ARPA_LP),0)))/CAC_LP,0)</f>
        <v>0</v>
      </c>
      <c r="F14" s="15">
        <f>IFERROR((ARPA_LP*'Monthly-Inputs'!F20/MAX(0.001,IFERROR('Monthly-Inputs'!F16/MAX(1,'Monthly-Inputs'!E14/ARPA_LP),0)))/CAC_LP,0)</f>
        <v>0</v>
      </c>
      <c r="G14" s="15">
        <f>IFERROR((ARPA_LP*'Monthly-Inputs'!G20/MAX(0.001,IFERROR('Monthly-Inputs'!G16/MAX(1,'Monthly-Inputs'!F14/ARPA_LP),0)))/CAC_LP,0)</f>
        <v>0</v>
      </c>
      <c r="H14" s="15">
        <f>IFERROR((ARPA_LP*'Monthly-Inputs'!H20/MAX(0.001,IFERROR('Monthly-Inputs'!H16/MAX(1,'Monthly-Inputs'!G14/ARPA_LP),0)))/CAC_LP,0)</f>
        <v>0</v>
      </c>
      <c r="I14" s="15">
        <f>IFERROR((ARPA_LP*'Monthly-Inputs'!I20/MAX(0.001,IFERROR('Monthly-Inputs'!I16/MAX(1,'Monthly-Inputs'!H14/ARPA_LP),0)))/CAC_LP,0)</f>
        <v>0</v>
      </c>
      <c r="J14" s="15">
        <f>IFERROR((ARPA_LP*'Monthly-Inputs'!J20/MAX(0.001,IFERROR('Monthly-Inputs'!J16/MAX(1,'Monthly-Inputs'!I14/ARPA_LP),0)))/CAC_LP,0)</f>
        <v>0</v>
      </c>
      <c r="K14" s="15">
        <f>IFERROR((ARPA_LP*'Monthly-Inputs'!K20/MAX(0.001,IFERROR('Monthly-Inputs'!K16/MAX(1,'Monthly-Inputs'!J14/ARPA_LP),0)))/CAC_LP,0)</f>
        <v>0</v>
      </c>
      <c r="L14" s="15">
        <f>IFERROR((ARPA_LP*'Monthly-Inputs'!L20/MAX(0.001,IFERROR('Monthly-Inputs'!L16/MAX(1,'Monthly-Inputs'!K14/ARPA_LP),0)))/CAC_LP,0)</f>
        <v>0</v>
      </c>
      <c r="M14" s="15">
        <f>IFERROR((ARPA_LP*'Monthly-Inputs'!M20/MAX(0.001,IFERROR('Monthly-Inputs'!M16/MAX(1,'Monthly-Inputs'!L14/ARPA_LP),0)))/CAC_LP,0)</f>
        <v>0</v>
      </c>
      <c r="N14" s="15">
        <f>IFERROR((ARPA_LP*'Monthly-Inputs'!N20/MAX(0.001,IFERROR('Monthly-Inputs'!N16/MAX(1,'Monthly-Inputs'!M14/ARPA_LP),0)))/CAC_LP,0)</f>
        <v>0</v>
      </c>
      <c r="O14" s="15">
        <f>IFERROR((ARPA_LP*'Monthly-Inputs'!O20/MAX(0.001,IFERROR('Monthly-Inputs'!O16/MAX(1,'Monthly-Inputs'!N14/ARPA_LP),0)))/CAC_LP,0)</f>
        <v>0</v>
      </c>
      <c r="P14" s="15">
        <f>IFERROR((ARPA_LP*'Monthly-Inputs'!P20/MAX(0.001,IFERROR('Monthly-Inputs'!P16/MAX(1,'Monthly-Inputs'!O14/ARPA_LP),0)))/CAC_LP,0)</f>
        <v>0</v>
      </c>
      <c r="Q14" s="15">
        <f>IFERROR((ARPA_LP*'Monthly-Inputs'!Q20/MAX(0.001,IFERROR('Monthly-Inputs'!Q16/MAX(1,'Monthly-Inputs'!P14/ARPA_LP),0)))/CAC_LP,0)</f>
        <v>0</v>
      </c>
      <c r="R14" s="15">
        <f>IFERROR((ARPA_LP*'Monthly-Inputs'!R20/MAX(0.001,IFERROR('Monthly-Inputs'!R16/MAX(1,'Monthly-Inputs'!Q14/ARPA_LP),0)))/CAC_LP,0)</f>
        <v>0</v>
      </c>
      <c r="S14" s="15">
        <f>IFERROR((ARPA_LP*'Monthly-Inputs'!S20/MAX(0.001,IFERROR('Monthly-Inputs'!S16/MAX(1,'Monthly-Inputs'!R14/ARPA_LP),0)))/CAC_LP,0)</f>
        <v>0</v>
      </c>
      <c r="T14" s="15">
        <f>IFERROR((ARPA_LP*'Monthly-Inputs'!T20/MAX(0.001,IFERROR('Monthly-Inputs'!T16/MAX(1,'Monthly-Inputs'!S14/ARPA_LP),0)))/CAC_LP,0)</f>
        <v>0</v>
      </c>
      <c r="U14" s="15">
        <f>IFERROR((ARPA_LP*'Monthly-Inputs'!U20/MAX(0.001,IFERROR('Monthly-Inputs'!U16/MAX(1,'Monthly-Inputs'!T14/ARPA_LP),0)))/CAC_LP,0)</f>
        <v>0</v>
      </c>
      <c r="V14" s="15">
        <f>IFERROR((ARPA_LP*'Monthly-Inputs'!V20/MAX(0.001,IFERROR('Monthly-Inputs'!V16/MAX(1,'Monthly-Inputs'!U14/ARPA_LP),0)))/CAC_LP,0)</f>
        <v>0</v>
      </c>
      <c r="W14" s="15">
        <f>IFERROR((ARPA_LP*'Monthly-Inputs'!W20/MAX(0.001,IFERROR('Monthly-Inputs'!W16/MAX(1,'Monthly-Inputs'!V14/ARPA_LP),0)))/CAC_LP,0)</f>
        <v>0</v>
      </c>
      <c r="X14" s="15">
        <f>IFERROR((ARPA_LP*'Monthly-Inputs'!X20/MAX(0.001,IFERROR('Monthly-Inputs'!X16/MAX(1,'Monthly-Inputs'!W14/ARPA_LP),0)))/CAC_LP,0)</f>
        <v>0</v>
      </c>
      <c r="Y14" s="15">
        <f>IFERROR((ARPA_LP*'Monthly-Inputs'!Y20/MAX(0.001,IFERROR('Monthly-Inputs'!Y16/MAX(1,'Monthly-Inputs'!X14/ARPA_LP),0)))/CAC_LP,0)</f>
        <v>0</v>
      </c>
    </row>
    <row r="15" spans="1:25">
      <c r="A15" s="2" t="s">
        <v>86</v>
      </c>
      <c r="B15" s="15"/>
      <c r="C15" s="15"/>
      <c r="D15" s="15"/>
      <c r="E15" s="15">
        <f>IFERROR(('Monthly-Inputs'!E21+'Monthly-Inputs'!D21+'Monthly-Inputs'!C21)/MAX(1,('Monthly-Inputs'!E14-'Monthly-Inputs'!B14)*12/3),99)</f>
        <v>0</v>
      </c>
      <c r="F15" s="15">
        <f>IFERROR(('Monthly-Inputs'!F21+'Monthly-Inputs'!E21+'Monthly-Inputs'!D21)/MAX(1,('Monthly-Inputs'!F14-'Monthly-Inputs'!C14)*12/3),99)</f>
        <v>0</v>
      </c>
      <c r="G15" s="15">
        <f>IFERROR(('Monthly-Inputs'!G21+'Monthly-Inputs'!F21+'Monthly-Inputs'!E21)/MAX(1,('Monthly-Inputs'!G14-'Monthly-Inputs'!D14)*12/3),99)</f>
        <v>0</v>
      </c>
      <c r="H15" s="15">
        <f>IFERROR(('Monthly-Inputs'!H21+'Monthly-Inputs'!G21+'Monthly-Inputs'!F21)/MAX(1,('Monthly-Inputs'!H14-'Monthly-Inputs'!E14)*12/3),99)</f>
        <v>0</v>
      </c>
      <c r="I15" s="15">
        <f>IFERROR(('Monthly-Inputs'!I21+'Monthly-Inputs'!H21+'Monthly-Inputs'!G21)/MAX(1,('Monthly-Inputs'!I14-'Monthly-Inputs'!F14)*12/3),99)</f>
        <v>0</v>
      </c>
      <c r="J15" s="15">
        <f>IFERROR(('Monthly-Inputs'!J21+'Monthly-Inputs'!I21+'Monthly-Inputs'!H21)/MAX(1,('Monthly-Inputs'!J14-'Monthly-Inputs'!G14)*12/3),99)</f>
        <v>0</v>
      </c>
      <c r="K15" s="15">
        <f>IFERROR(('Monthly-Inputs'!K21+'Monthly-Inputs'!J21+'Monthly-Inputs'!I21)/MAX(1,('Monthly-Inputs'!K14-'Monthly-Inputs'!H14)*12/3),99)</f>
        <v>0</v>
      </c>
      <c r="L15" s="15">
        <f>IFERROR(('Monthly-Inputs'!L21+'Monthly-Inputs'!K21+'Monthly-Inputs'!J21)/MAX(1,('Monthly-Inputs'!L14-'Monthly-Inputs'!I14)*12/3),99)</f>
        <v>0</v>
      </c>
      <c r="M15" s="15">
        <f>IFERROR(('Monthly-Inputs'!M21+'Monthly-Inputs'!L21+'Monthly-Inputs'!K21)/MAX(1,('Monthly-Inputs'!M14-'Monthly-Inputs'!J14)*12/3),99)</f>
        <v>0</v>
      </c>
      <c r="N15" s="15">
        <f>IFERROR(('Monthly-Inputs'!N21+'Monthly-Inputs'!M21+'Monthly-Inputs'!L21)/MAX(1,('Monthly-Inputs'!N14-'Monthly-Inputs'!K14)*12/3),99)</f>
        <v>0</v>
      </c>
      <c r="O15" s="15">
        <f>IFERROR(('Monthly-Inputs'!O21+'Monthly-Inputs'!N21+'Monthly-Inputs'!M21)/MAX(1,('Monthly-Inputs'!O14-'Monthly-Inputs'!L14)*12/3),99)</f>
        <v>0</v>
      </c>
      <c r="P15" s="15">
        <f>IFERROR(('Monthly-Inputs'!P21+'Monthly-Inputs'!O21+'Monthly-Inputs'!N21)/MAX(1,('Monthly-Inputs'!P14-'Monthly-Inputs'!M14)*12/3),99)</f>
        <v>0</v>
      </c>
      <c r="Q15" s="15">
        <f>IFERROR(('Monthly-Inputs'!Q21+'Monthly-Inputs'!P21+'Monthly-Inputs'!O21)/MAX(1,('Monthly-Inputs'!Q14-'Monthly-Inputs'!N14)*12/3),99)</f>
        <v>0</v>
      </c>
      <c r="R15" s="15">
        <f>IFERROR(('Monthly-Inputs'!R21+'Monthly-Inputs'!Q21+'Monthly-Inputs'!P21)/MAX(1,('Monthly-Inputs'!R14-'Monthly-Inputs'!O14)*12/3),99)</f>
        <v>0</v>
      </c>
      <c r="S15" s="15">
        <f>IFERROR(('Monthly-Inputs'!S21+'Monthly-Inputs'!R21+'Monthly-Inputs'!Q21)/MAX(1,('Monthly-Inputs'!S14-'Monthly-Inputs'!P14)*12/3),99)</f>
        <v>0</v>
      </c>
      <c r="T15" s="15">
        <f>IFERROR(('Monthly-Inputs'!T21+'Monthly-Inputs'!S21+'Monthly-Inputs'!R21)/MAX(1,('Monthly-Inputs'!T14-'Monthly-Inputs'!Q14)*12/3),99)</f>
        <v>0</v>
      </c>
      <c r="U15" s="15">
        <f>IFERROR(('Monthly-Inputs'!U21+'Monthly-Inputs'!T21+'Monthly-Inputs'!S21)/MAX(1,('Monthly-Inputs'!U14-'Monthly-Inputs'!R14)*12/3),99)</f>
        <v>0</v>
      </c>
      <c r="V15" s="15">
        <f>IFERROR(('Monthly-Inputs'!V21+'Monthly-Inputs'!U21+'Monthly-Inputs'!T21)/MAX(1,('Monthly-Inputs'!V14-'Monthly-Inputs'!S14)*12/3),99)</f>
        <v>0</v>
      </c>
      <c r="W15" s="15">
        <f>IFERROR(('Monthly-Inputs'!W21+'Monthly-Inputs'!V21+'Monthly-Inputs'!U21)/MAX(1,('Monthly-Inputs'!W14-'Monthly-Inputs'!T14)*12/3),99)</f>
        <v>0</v>
      </c>
      <c r="X15" s="15">
        <f>IFERROR(('Monthly-Inputs'!X21+'Monthly-Inputs'!W21+'Monthly-Inputs'!V21)/MAX(1,('Monthly-Inputs'!X14-'Monthly-Inputs'!U14)*12/3),99)</f>
        <v>0</v>
      </c>
      <c r="Y15" s="15">
        <f>IFERROR(('Monthly-Inputs'!Y21+'Monthly-Inputs'!X21+'Monthly-Inputs'!W21)/MAX(1,('Monthly-Inputs'!Y14-'Monthly-Inputs'!V14)*12/3),99)</f>
        <v>0</v>
      </c>
    </row>
    <row r="16" spans="1:25">
      <c r="A16" s="2" t="s">
        <v>87</v>
      </c>
      <c r="B16" s="15">
        <f>IFERROR(('Monthly-Inputs'!B15*ARPA_LP+'Monthly-Inputs'!B17)/MAX(1,'Monthly-Inputs'!B16*ARPA_LP),0)</f>
        <v>0</v>
      </c>
      <c r="C16" s="15">
        <f>IFERROR(('Monthly-Inputs'!C15*ARPA_LP+'Monthly-Inputs'!C17)/MAX(1,'Monthly-Inputs'!C16*ARPA_LP),0)</f>
        <v>0</v>
      </c>
      <c r="D16" s="15">
        <f>IFERROR(('Monthly-Inputs'!D15*ARPA_LP+'Monthly-Inputs'!D17)/MAX(1,'Monthly-Inputs'!D16*ARPA_LP),0)</f>
        <v>0</v>
      </c>
      <c r="E16" s="15">
        <f>IFERROR(('Monthly-Inputs'!E15*ARPA_LP+'Monthly-Inputs'!E17)/MAX(1,'Monthly-Inputs'!E16*ARPA_LP),0)</f>
        <v>0</v>
      </c>
      <c r="F16" s="15">
        <f>IFERROR(('Monthly-Inputs'!F15*ARPA_LP+'Monthly-Inputs'!F17)/MAX(1,'Monthly-Inputs'!F16*ARPA_LP),0)</f>
        <v>0</v>
      </c>
      <c r="G16" s="15">
        <f>IFERROR(('Monthly-Inputs'!G15*ARPA_LP+'Monthly-Inputs'!G17)/MAX(1,'Monthly-Inputs'!G16*ARPA_LP),0)</f>
        <v>0</v>
      </c>
      <c r="H16" s="15">
        <f>IFERROR(('Monthly-Inputs'!H15*ARPA_LP+'Monthly-Inputs'!H17)/MAX(1,'Monthly-Inputs'!H16*ARPA_LP),0)</f>
        <v>0</v>
      </c>
      <c r="I16" s="15">
        <f>IFERROR(('Monthly-Inputs'!I15*ARPA_LP+'Monthly-Inputs'!I17)/MAX(1,'Monthly-Inputs'!I16*ARPA_LP),0)</f>
        <v>0</v>
      </c>
      <c r="J16" s="15">
        <f>IFERROR(('Monthly-Inputs'!J15*ARPA_LP+'Monthly-Inputs'!J17)/MAX(1,'Monthly-Inputs'!J16*ARPA_LP),0)</f>
        <v>0</v>
      </c>
      <c r="K16" s="15">
        <f>IFERROR(('Monthly-Inputs'!K15*ARPA_LP+'Monthly-Inputs'!K17)/MAX(1,'Monthly-Inputs'!K16*ARPA_LP),0)</f>
        <v>0</v>
      </c>
      <c r="L16" s="15">
        <f>IFERROR(('Monthly-Inputs'!L15*ARPA_LP+'Monthly-Inputs'!L17)/MAX(1,'Monthly-Inputs'!L16*ARPA_LP),0)</f>
        <v>0</v>
      </c>
      <c r="M16" s="15">
        <f>IFERROR(('Monthly-Inputs'!M15*ARPA_LP+'Monthly-Inputs'!M17)/MAX(1,'Monthly-Inputs'!M16*ARPA_LP),0)</f>
        <v>0</v>
      </c>
      <c r="N16" s="15">
        <f>IFERROR(('Monthly-Inputs'!N15*ARPA_LP+'Monthly-Inputs'!N17)/MAX(1,'Monthly-Inputs'!N16*ARPA_LP),0)</f>
        <v>0</v>
      </c>
      <c r="O16" s="15">
        <f>IFERROR(('Monthly-Inputs'!O15*ARPA_LP+'Monthly-Inputs'!O17)/MAX(1,'Monthly-Inputs'!O16*ARPA_LP),0)</f>
        <v>0</v>
      </c>
      <c r="P16" s="15">
        <f>IFERROR(('Monthly-Inputs'!P15*ARPA_LP+'Monthly-Inputs'!P17)/MAX(1,'Monthly-Inputs'!P16*ARPA_LP),0)</f>
        <v>0</v>
      </c>
      <c r="Q16" s="15">
        <f>IFERROR(('Monthly-Inputs'!Q15*ARPA_LP+'Monthly-Inputs'!Q17)/MAX(1,'Monthly-Inputs'!Q16*ARPA_LP),0)</f>
        <v>0</v>
      </c>
      <c r="R16" s="15">
        <f>IFERROR(('Monthly-Inputs'!R15*ARPA_LP+'Monthly-Inputs'!R17)/MAX(1,'Monthly-Inputs'!R16*ARPA_LP),0)</f>
        <v>0</v>
      </c>
      <c r="S16" s="15">
        <f>IFERROR(('Monthly-Inputs'!S15*ARPA_LP+'Monthly-Inputs'!S17)/MAX(1,'Monthly-Inputs'!S16*ARPA_LP),0)</f>
        <v>0</v>
      </c>
      <c r="T16" s="15">
        <f>IFERROR(('Monthly-Inputs'!T15*ARPA_LP+'Monthly-Inputs'!T17)/MAX(1,'Monthly-Inputs'!T16*ARPA_LP),0)</f>
        <v>0</v>
      </c>
      <c r="U16" s="15">
        <f>IFERROR(('Monthly-Inputs'!U15*ARPA_LP+'Monthly-Inputs'!U17)/MAX(1,'Monthly-Inputs'!U16*ARPA_LP),0)</f>
        <v>0</v>
      </c>
      <c r="V16" s="15">
        <f>IFERROR(('Monthly-Inputs'!V15*ARPA_LP+'Monthly-Inputs'!V17)/MAX(1,'Monthly-Inputs'!V16*ARPA_LP),0)</f>
        <v>0</v>
      </c>
      <c r="W16" s="15">
        <f>IFERROR(('Monthly-Inputs'!W15*ARPA_LP+'Monthly-Inputs'!W17)/MAX(1,'Monthly-Inputs'!W16*ARPA_LP),0)</f>
        <v>0</v>
      </c>
      <c r="X16" s="15">
        <f>IFERROR(('Monthly-Inputs'!X15*ARPA_LP+'Monthly-Inputs'!X17)/MAX(1,'Monthly-Inputs'!X16*ARPA_LP),0)</f>
        <v>0</v>
      </c>
      <c r="Y16" s="15">
        <f>IFERROR(('Monthly-Inputs'!Y15*ARPA_LP+'Monthly-Inputs'!Y17)/MAX(1,'Monthly-Inputs'!Y16*ARPA_LP),0)</f>
        <v>0</v>
      </c>
    </row>
    <row r="17" spans="1:25">
      <c r="A17" s="2" t="s">
        <v>88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>
        <f>IFERROR('Monthly-Inputs'!N14/MAX(1,'Monthly-Inputs'!B14)-1,0)+(('Monthly-Inputs'!N20)-(IFERROR('Monthly-Inputs'!N18+'Monthly-Inputs'!N21,0))/MAX(1,'Monthly-Inputs'!N14))</f>
        <v>0</v>
      </c>
      <c r="O17" s="14">
        <f>IFERROR('Monthly-Inputs'!O14/MAX(1,'Monthly-Inputs'!C14)-1,0)+(('Monthly-Inputs'!O20)-(IFERROR('Monthly-Inputs'!O18+'Monthly-Inputs'!O21,0))/MAX(1,'Monthly-Inputs'!O14))</f>
        <v>0</v>
      </c>
      <c r="P17" s="14">
        <f>IFERROR('Monthly-Inputs'!P14/MAX(1,'Monthly-Inputs'!D14)-1,0)+(('Monthly-Inputs'!P20)-(IFERROR('Monthly-Inputs'!P18+'Monthly-Inputs'!P21,0))/MAX(1,'Monthly-Inputs'!P14))</f>
        <v>0</v>
      </c>
      <c r="Q17" s="14">
        <f>IFERROR('Monthly-Inputs'!Q14/MAX(1,'Monthly-Inputs'!E14)-1,0)+(('Monthly-Inputs'!Q20)-(IFERROR('Monthly-Inputs'!Q18+'Monthly-Inputs'!Q21,0))/MAX(1,'Monthly-Inputs'!Q14))</f>
        <v>0</v>
      </c>
      <c r="R17" s="14">
        <f>IFERROR('Monthly-Inputs'!R14/MAX(1,'Monthly-Inputs'!F14)-1,0)+(('Monthly-Inputs'!R20)-(IFERROR('Monthly-Inputs'!R18+'Monthly-Inputs'!R21,0))/MAX(1,'Monthly-Inputs'!R14))</f>
        <v>0</v>
      </c>
      <c r="S17" s="14">
        <f>IFERROR('Monthly-Inputs'!S14/MAX(1,'Monthly-Inputs'!G14)-1,0)+(('Monthly-Inputs'!S20)-(IFERROR('Monthly-Inputs'!S18+'Monthly-Inputs'!S21,0))/MAX(1,'Monthly-Inputs'!S14))</f>
        <v>0</v>
      </c>
      <c r="T17" s="14">
        <f>IFERROR('Monthly-Inputs'!T14/MAX(1,'Monthly-Inputs'!H14)-1,0)+(('Monthly-Inputs'!T20)-(IFERROR('Monthly-Inputs'!T18+'Monthly-Inputs'!T21,0))/MAX(1,'Monthly-Inputs'!T14))</f>
        <v>0</v>
      </c>
      <c r="U17" s="14">
        <f>IFERROR('Monthly-Inputs'!U14/MAX(1,'Monthly-Inputs'!I14)-1,0)+(('Monthly-Inputs'!U20)-(IFERROR('Monthly-Inputs'!U18+'Monthly-Inputs'!U21,0))/MAX(1,'Monthly-Inputs'!U14))</f>
        <v>0</v>
      </c>
      <c r="V17" s="14">
        <f>IFERROR('Monthly-Inputs'!V14/MAX(1,'Monthly-Inputs'!J14)-1,0)+(('Monthly-Inputs'!V20)-(IFERROR('Monthly-Inputs'!V18+'Monthly-Inputs'!V21,0))/MAX(1,'Monthly-Inputs'!V14))</f>
        <v>0</v>
      </c>
      <c r="W17" s="14">
        <f>IFERROR('Monthly-Inputs'!W14/MAX(1,'Monthly-Inputs'!K14)-1,0)+(('Monthly-Inputs'!W20)-(IFERROR('Monthly-Inputs'!W18+'Monthly-Inputs'!W21,0))/MAX(1,'Monthly-Inputs'!W14))</f>
        <v>0</v>
      </c>
      <c r="X17" s="14">
        <f>IFERROR('Monthly-Inputs'!X14/MAX(1,'Monthly-Inputs'!L14)-1,0)+(('Monthly-Inputs'!X20)-(IFERROR('Monthly-Inputs'!X18+'Monthly-Inputs'!X21,0))/MAX(1,'Monthly-Inputs'!X14))</f>
        <v>0</v>
      </c>
      <c r="Y17" s="14">
        <f>IFERROR('Monthly-Inputs'!Y14/MAX(1,'Monthly-Inputs'!M14)-1,0)+(('Monthly-Inputs'!Y20)-(IFERROR('Monthly-Inputs'!Y18+'Monthly-Inputs'!Y21,0))/MAX(1,'Monthly-Inputs'!Y14))</f>
        <v>0</v>
      </c>
    </row>
  </sheetData>
  <mergeCells count="1">
    <mergeCell ref="A1:Y1"/>
  </mergeCells>
  <conditionalFormatting sqref="B10:Y10">
    <cfRule type="cellIs" dxfId="0" priority="1" operator="greaterThanOrEqual">
      <formula>1.1</formula>
    </cfRule>
    <cfRule type="cellIs" dxfId="1" priority="2" operator="between">
      <formula>1.0</formula>
      <formula>1.1</formula>
    </cfRule>
    <cfRule type="cellIs" dxfId="2" priority="3" operator="lessThan">
      <formula>1.0</formula>
    </cfRule>
  </conditionalFormatting>
  <conditionalFormatting sqref="B12:Y12">
    <cfRule type="cellIs" dxfId="0" priority="4" operator="greaterThanOrEqual">
      <formula>1.0</formula>
    </cfRule>
    <cfRule type="cellIs" dxfId="1" priority="5" operator="between">
      <formula>0.75</formula>
      <formula>1.0</formula>
    </cfRule>
    <cfRule type="cellIs" dxfId="2" priority="6" operator="lessThan">
      <formula>0.75</formula>
    </cfRule>
  </conditionalFormatting>
  <conditionalFormatting sqref="B13:Y13">
    <cfRule type="cellIs" dxfId="0" priority="7" operator="lessThanOrEqual">
      <formula>18</formula>
    </cfRule>
    <cfRule type="cellIs" dxfId="1" priority="8" operator="between">
      <formula>18</formula>
      <formula>30</formula>
    </cfRule>
    <cfRule type="cellIs" dxfId="2" priority="9" operator="greaterThan">
      <formula>30</formula>
    </cfRule>
  </conditionalFormatting>
  <conditionalFormatting sqref="B14:Y14">
    <cfRule type="cellIs" dxfId="0" priority="10" operator="greaterThanOrEqual">
      <formula>3</formula>
    </cfRule>
    <cfRule type="cellIs" dxfId="1" priority="11" operator="between">
      <formula>1.5</formula>
      <formula>3</formula>
    </cfRule>
    <cfRule type="cellIs" dxfId="2" priority="12" operator="lessThan">
      <formula>1.5</formula>
    </cfRule>
  </conditionalFormatting>
  <conditionalFormatting sqref="B15:Y15">
    <cfRule type="cellIs" dxfId="0" priority="13" operator="lessThanOrEqual">
      <formula>1.0</formula>
    </cfRule>
    <cfRule type="cellIs" dxfId="1" priority="14" operator="between">
      <formula>1.0</formula>
      <formula>2.0</formula>
    </cfRule>
    <cfRule type="cellIs" dxfId="2" priority="15" operator="greaterThan">
      <formula>2.0</formula>
    </cfRule>
  </conditionalFormatting>
  <conditionalFormatting sqref="B17:Y17">
    <cfRule type="cellIs" dxfId="0" priority="16" operator="greaterThanOrEqual">
      <formula>0.4</formula>
    </cfRule>
    <cfRule type="cellIs" dxfId="1" priority="17" operator="between">
      <formula>0.3</formula>
      <formula>0.4</formula>
    </cfRule>
    <cfRule type="cellIs" dxfId="2" priority="18" operator="lessThan">
      <formula>0.3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cols>
    <col min="1" max="1" width="30.7109375" customWidth="1"/>
    <col min="2" max="26" width="11.7109375" customWidth="1"/>
  </cols>
  <sheetData>
    <row r="1" spans="1:25" ht="28" customHeight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 t="s">
        <v>45</v>
      </c>
      <c r="X3" s="5" t="s">
        <v>46</v>
      </c>
      <c r="Y3" s="5" t="s">
        <v>47</v>
      </c>
    </row>
    <row r="4" spans="1:25">
      <c r="A4" s="2" t="s">
        <v>90</v>
      </c>
      <c r="B4" s="14">
        <f>IFERROR(('Monthly-Inputs'!B14-'Monthly-Inputs'!B5)/MAX(1,'Monthly-Inputs'!B5),0)</f>
        <v>0</v>
      </c>
      <c r="C4" s="14">
        <f>IFERROR(('Monthly-Inputs'!C14-'Monthly-Inputs'!C5)/MAX(1,'Monthly-Inputs'!C5),0)</f>
        <v>0</v>
      </c>
      <c r="D4" s="14">
        <f>IFERROR(('Monthly-Inputs'!D14-'Monthly-Inputs'!D5)/MAX(1,'Monthly-Inputs'!D5),0)</f>
        <v>0</v>
      </c>
      <c r="E4" s="14">
        <f>IFERROR(('Monthly-Inputs'!E14-'Monthly-Inputs'!E5)/MAX(1,'Monthly-Inputs'!E5),0)</f>
        <v>0</v>
      </c>
      <c r="F4" s="14">
        <f>IFERROR(('Monthly-Inputs'!F14-'Monthly-Inputs'!F5)/MAX(1,'Monthly-Inputs'!F5),0)</f>
        <v>0</v>
      </c>
      <c r="G4" s="14">
        <f>IFERROR(('Monthly-Inputs'!G14-'Monthly-Inputs'!G5)/MAX(1,'Monthly-Inputs'!G5),0)</f>
        <v>0</v>
      </c>
      <c r="H4" s="14">
        <f>IFERROR(('Monthly-Inputs'!H14-'Monthly-Inputs'!H5)/MAX(1,'Monthly-Inputs'!H5),0)</f>
        <v>0</v>
      </c>
      <c r="I4" s="14">
        <f>IFERROR(('Monthly-Inputs'!I14-'Monthly-Inputs'!I5)/MAX(1,'Monthly-Inputs'!I5),0)</f>
        <v>0</v>
      </c>
      <c r="J4" s="14">
        <f>IFERROR(('Monthly-Inputs'!J14-'Monthly-Inputs'!J5)/MAX(1,'Monthly-Inputs'!J5),0)</f>
        <v>0</v>
      </c>
      <c r="K4" s="14">
        <f>IFERROR(('Monthly-Inputs'!K14-'Monthly-Inputs'!K5)/MAX(1,'Monthly-Inputs'!K5),0)</f>
        <v>0</v>
      </c>
      <c r="L4" s="14">
        <f>IFERROR(('Monthly-Inputs'!L14-'Monthly-Inputs'!L5)/MAX(1,'Monthly-Inputs'!L5),0)</f>
        <v>0</v>
      </c>
      <c r="M4" s="14">
        <f>IFERROR(('Monthly-Inputs'!M14-'Monthly-Inputs'!M5)/MAX(1,'Monthly-Inputs'!M5),0)</f>
        <v>0</v>
      </c>
      <c r="N4" s="14">
        <f>IFERROR(('Monthly-Inputs'!N14-'Monthly-Inputs'!N5)/MAX(1,'Monthly-Inputs'!N5),0)</f>
        <v>0</v>
      </c>
      <c r="O4" s="14">
        <f>IFERROR(('Monthly-Inputs'!O14-'Monthly-Inputs'!O5)/MAX(1,'Monthly-Inputs'!O5),0)</f>
        <v>0</v>
      </c>
      <c r="P4" s="14">
        <f>IFERROR(('Monthly-Inputs'!P14-'Monthly-Inputs'!P5)/MAX(1,'Monthly-Inputs'!P5),0)</f>
        <v>0</v>
      </c>
      <c r="Q4" s="14">
        <f>IFERROR(('Monthly-Inputs'!Q14-'Monthly-Inputs'!Q5)/MAX(1,'Monthly-Inputs'!Q5),0)</f>
        <v>0</v>
      </c>
      <c r="R4" s="14">
        <f>IFERROR(('Monthly-Inputs'!R14-'Monthly-Inputs'!R5)/MAX(1,'Monthly-Inputs'!R5),0)</f>
        <v>0</v>
      </c>
      <c r="S4" s="14">
        <f>IFERROR(('Monthly-Inputs'!S14-'Monthly-Inputs'!S5)/MAX(1,'Monthly-Inputs'!S5),0)</f>
        <v>0</v>
      </c>
      <c r="T4" s="14">
        <f>IFERROR(('Monthly-Inputs'!T14-'Monthly-Inputs'!T5)/MAX(1,'Monthly-Inputs'!T5),0)</f>
        <v>0</v>
      </c>
      <c r="U4" s="14">
        <f>IFERROR(('Monthly-Inputs'!U14-'Monthly-Inputs'!U5)/MAX(1,'Monthly-Inputs'!U5),0)</f>
        <v>0</v>
      </c>
      <c r="V4" s="14">
        <f>IFERROR(('Monthly-Inputs'!V14-'Monthly-Inputs'!V5)/MAX(1,'Monthly-Inputs'!V5),0)</f>
        <v>0</v>
      </c>
      <c r="W4" s="14">
        <f>IFERROR(('Monthly-Inputs'!W14-'Monthly-Inputs'!W5)/MAX(1,'Monthly-Inputs'!W5),0)</f>
        <v>0</v>
      </c>
      <c r="X4" s="14">
        <f>IFERROR(('Monthly-Inputs'!X14-'Monthly-Inputs'!X5)/MAX(1,'Monthly-Inputs'!X5),0)</f>
        <v>0</v>
      </c>
      <c r="Y4" s="14">
        <f>IFERROR(('Monthly-Inputs'!Y14-'Monthly-Inputs'!Y5)/MAX(1,'Monthly-Inputs'!Y5),0)</f>
        <v>0</v>
      </c>
    </row>
    <row r="5" spans="1:25">
      <c r="A5" s="2" t="s">
        <v>91</v>
      </c>
      <c r="B5" s="14">
        <f>IFERROR(('Monthly-Inputs'!B15-'Monthly-Inputs'!B6)/MAX(1,'Monthly-Inputs'!B6),0)</f>
        <v>0</v>
      </c>
      <c r="C5" s="14">
        <f>IFERROR(('Monthly-Inputs'!C15-'Monthly-Inputs'!C6)/MAX(1,'Monthly-Inputs'!C6),0)</f>
        <v>0</v>
      </c>
      <c r="D5" s="14">
        <f>IFERROR(('Monthly-Inputs'!D15-'Monthly-Inputs'!D6)/MAX(1,'Monthly-Inputs'!D6),0)</f>
        <v>0</v>
      </c>
      <c r="E5" s="14">
        <f>IFERROR(('Monthly-Inputs'!E15-'Monthly-Inputs'!E6)/MAX(1,'Monthly-Inputs'!E6),0)</f>
        <v>0</v>
      </c>
      <c r="F5" s="14">
        <f>IFERROR(('Monthly-Inputs'!F15-'Monthly-Inputs'!F6)/MAX(1,'Monthly-Inputs'!F6),0)</f>
        <v>0</v>
      </c>
      <c r="G5" s="14">
        <f>IFERROR(('Monthly-Inputs'!G15-'Monthly-Inputs'!G6)/MAX(1,'Monthly-Inputs'!G6),0)</f>
        <v>0</v>
      </c>
      <c r="H5" s="14">
        <f>IFERROR(('Monthly-Inputs'!H15-'Monthly-Inputs'!H6)/MAX(1,'Monthly-Inputs'!H6),0)</f>
        <v>0</v>
      </c>
      <c r="I5" s="14">
        <f>IFERROR(('Monthly-Inputs'!I15-'Monthly-Inputs'!I6)/MAX(1,'Monthly-Inputs'!I6),0)</f>
        <v>0</v>
      </c>
      <c r="J5" s="14">
        <f>IFERROR(('Monthly-Inputs'!J15-'Monthly-Inputs'!J6)/MAX(1,'Monthly-Inputs'!J6),0)</f>
        <v>0</v>
      </c>
      <c r="K5" s="14">
        <f>IFERROR(('Monthly-Inputs'!K15-'Monthly-Inputs'!K6)/MAX(1,'Monthly-Inputs'!K6),0)</f>
        <v>0</v>
      </c>
      <c r="L5" s="14">
        <f>IFERROR(('Monthly-Inputs'!L15-'Monthly-Inputs'!L6)/MAX(1,'Monthly-Inputs'!L6),0)</f>
        <v>0</v>
      </c>
      <c r="M5" s="14">
        <f>IFERROR(('Monthly-Inputs'!M15-'Monthly-Inputs'!M6)/MAX(1,'Monthly-Inputs'!M6),0)</f>
        <v>0</v>
      </c>
      <c r="N5" s="14">
        <f>IFERROR(('Monthly-Inputs'!N15-'Monthly-Inputs'!N6)/MAX(1,'Monthly-Inputs'!N6),0)</f>
        <v>0</v>
      </c>
      <c r="O5" s="14">
        <f>IFERROR(('Monthly-Inputs'!O15-'Monthly-Inputs'!O6)/MAX(1,'Monthly-Inputs'!O6),0)</f>
        <v>0</v>
      </c>
      <c r="P5" s="14">
        <f>IFERROR(('Monthly-Inputs'!P15-'Monthly-Inputs'!P6)/MAX(1,'Monthly-Inputs'!P6),0)</f>
        <v>0</v>
      </c>
      <c r="Q5" s="14">
        <f>IFERROR(('Monthly-Inputs'!Q15-'Monthly-Inputs'!Q6)/MAX(1,'Monthly-Inputs'!Q6),0)</f>
        <v>0</v>
      </c>
      <c r="R5" s="14">
        <f>IFERROR(('Monthly-Inputs'!R15-'Monthly-Inputs'!R6)/MAX(1,'Monthly-Inputs'!R6),0)</f>
        <v>0</v>
      </c>
      <c r="S5" s="14">
        <f>IFERROR(('Monthly-Inputs'!S15-'Monthly-Inputs'!S6)/MAX(1,'Monthly-Inputs'!S6),0)</f>
        <v>0</v>
      </c>
      <c r="T5" s="14">
        <f>IFERROR(('Monthly-Inputs'!T15-'Monthly-Inputs'!T6)/MAX(1,'Monthly-Inputs'!T6),0)</f>
        <v>0</v>
      </c>
      <c r="U5" s="14">
        <f>IFERROR(('Monthly-Inputs'!U15-'Monthly-Inputs'!U6)/MAX(1,'Monthly-Inputs'!U6),0)</f>
        <v>0</v>
      </c>
      <c r="V5" s="14">
        <f>IFERROR(('Monthly-Inputs'!V15-'Monthly-Inputs'!V6)/MAX(1,'Monthly-Inputs'!V6),0)</f>
        <v>0</v>
      </c>
      <c r="W5" s="14">
        <f>IFERROR(('Monthly-Inputs'!W15-'Monthly-Inputs'!W6)/MAX(1,'Monthly-Inputs'!W6),0)</f>
        <v>0</v>
      </c>
      <c r="X5" s="14">
        <f>IFERROR(('Monthly-Inputs'!X15-'Monthly-Inputs'!X6)/MAX(1,'Monthly-Inputs'!X6),0)</f>
        <v>0</v>
      </c>
      <c r="Y5" s="14">
        <f>IFERROR(('Monthly-Inputs'!Y15-'Monthly-Inputs'!Y6)/MAX(1,'Monthly-Inputs'!Y6),0)</f>
        <v>0</v>
      </c>
    </row>
    <row r="6" spans="1:25">
      <c r="A6" s="2" t="s">
        <v>92</v>
      </c>
      <c r="B6" s="14">
        <f>IFERROR(('Monthly-Inputs'!B18-'Monthly-Inputs'!B9)/MAX(1,'Monthly-Inputs'!B9),0)</f>
        <v>0</v>
      </c>
      <c r="C6" s="14">
        <f>IFERROR(('Monthly-Inputs'!C18-'Monthly-Inputs'!C9)/MAX(1,'Monthly-Inputs'!C9),0)</f>
        <v>0</v>
      </c>
      <c r="D6" s="14">
        <f>IFERROR(('Monthly-Inputs'!D18-'Monthly-Inputs'!D9)/MAX(1,'Monthly-Inputs'!D9),0)</f>
        <v>0</v>
      </c>
      <c r="E6" s="14">
        <f>IFERROR(('Monthly-Inputs'!E18-'Monthly-Inputs'!E9)/MAX(1,'Monthly-Inputs'!E9),0)</f>
        <v>0</v>
      </c>
      <c r="F6" s="14">
        <f>IFERROR(('Monthly-Inputs'!F18-'Monthly-Inputs'!F9)/MAX(1,'Monthly-Inputs'!F9),0)</f>
        <v>0</v>
      </c>
      <c r="G6" s="14">
        <f>IFERROR(('Monthly-Inputs'!G18-'Monthly-Inputs'!G9)/MAX(1,'Monthly-Inputs'!G9),0)</f>
        <v>0</v>
      </c>
      <c r="H6" s="14">
        <f>IFERROR(('Monthly-Inputs'!H18-'Monthly-Inputs'!H9)/MAX(1,'Monthly-Inputs'!H9),0)</f>
        <v>0</v>
      </c>
      <c r="I6" s="14">
        <f>IFERROR(('Monthly-Inputs'!I18-'Monthly-Inputs'!I9)/MAX(1,'Monthly-Inputs'!I9),0)</f>
        <v>0</v>
      </c>
      <c r="J6" s="14">
        <f>IFERROR(('Monthly-Inputs'!J18-'Monthly-Inputs'!J9)/MAX(1,'Monthly-Inputs'!J9),0)</f>
        <v>0</v>
      </c>
      <c r="K6" s="14">
        <f>IFERROR(('Monthly-Inputs'!K18-'Monthly-Inputs'!K9)/MAX(1,'Monthly-Inputs'!K9),0)</f>
        <v>0</v>
      </c>
      <c r="L6" s="14">
        <f>IFERROR(('Monthly-Inputs'!L18-'Monthly-Inputs'!L9)/MAX(1,'Monthly-Inputs'!L9),0)</f>
        <v>0</v>
      </c>
      <c r="M6" s="14">
        <f>IFERROR(('Monthly-Inputs'!M18-'Monthly-Inputs'!M9)/MAX(1,'Monthly-Inputs'!M9),0)</f>
        <v>0</v>
      </c>
      <c r="N6" s="14">
        <f>IFERROR(('Monthly-Inputs'!N18-'Monthly-Inputs'!N9)/MAX(1,'Monthly-Inputs'!N9),0)</f>
        <v>0</v>
      </c>
      <c r="O6" s="14">
        <f>IFERROR(('Monthly-Inputs'!O18-'Monthly-Inputs'!O9)/MAX(1,'Monthly-Inputs'!O9),0)</f>
        <v>0</v>
      </c>
      <c r="P6" s="14">
        <f>IFERROR(('Monthly-Inputs'!P18-'Monthly-Inputs'!P9)/MAX(1,'Monthly-Inputs'!P9),0)</f>
        <v>0</v>
      </c>
      <c r="Q6" s="14">
        <f>IFERROR(('Monthly-Inputs'!Q18-'Monthly-Inputs'!Q9)/MAX(1,'Monthly-Inputs'!Q9),0)</f>
        <v>0</v>
      </c>
      <c r="R6" s="14">
        <f>IFERROR(('Monthly-Inputs'!R18-'Monthly-Inputs'!R9)/MAX(1,'Monthly-Inputs'!R9),0)</f>
        <v>0</v>
      </c>
      <c r="S6" s="14">
        <f>IFERROR(('Monthly-Inputs'!S18-'Monthly-Inputs'!S9)/MAX(1,'Monthly-Inputs'!S9),0)</f>
        <v>0</v>
      </c>
      <c r="T6" s="14">
        <f>IFERROR(('Monthly-Inputs'!T18-'Monthly-Inputs'!T9)/MAX(1,'Monthly-Inputs'!T9),0)</f>
        <v>0</v>
      </c>
      <c r="U6" s="14">
        <f>IFERROR(('Monthly-Inputs'!U18-'Monthly-Inputs'!U9)/MAX(1,'Monthly-Inputs'!U9),0)</f>
        <v>0</v>
      </c>
      <c r="V6" s="14">
        <f>IFERROR(('Monthly-Inputs'!V18-'Monthly-Inputs'!V9)/MAX(1,'Monthly-Inputs'!V9),0)</f>
        <v>0</v>
      </c>
      <c r="W6" s="14">
        <f>IFERROR(('Monthly-Inputs'!W18-'Monthly-Inputs'!W9)/MAX(1,'Monthly-Inputs'!W9),0)</f>
        <v>0</v>
      </c>
      <c r="X6" s="14">
        <f>IFERROR(('Monthly-Inputs'!X18-'Monthly-Inputs'!X9)/MAX(1,'Monthly-Inputs'!X9),0)</f>
        <v>0</v>
      </c>
      <c r="Y6" s="14">
        <f>IFERROR(('Monthly-Inputs'!Y18-'Monthly-Inputs'!Y9)/MAX(1,'Monthly-Inputs'!Y9),0)</f>
        <v>0</v>
      </c>
    </row>
    <row r="7" spans="1:25">
      <c r="A7" s="2" t="s">
        <v>93</v>
      </c>
      <c r="B7" s="14">
        <f>IFERROR(('Monthly-Inputs'!B19-'Monthly-Inputs'!B10)/MAX(1,'Monthly-Inputs'!B10),0)</f>
        <v>0</v>
      </c>
      <c r="C7" s="14">
        <f>IFERROR(('Monthly-Inputs'!C19-'Monthly-Inputs'!C10)/MAX(1,'Monthly-Inputs'!C10),0)</f>
        <v>0</v>
      </c>
      <c r="D7" s="14">
        <f>IFERROR(('Monthly-Inputs'!D19-'Monthly-Inputs'!D10)/MAX(1,'Monthly-Inputs'!D10),0)</f>
        <v>0</v>
      </c>
      <c r="E7" s="14">
        <f>IFERROR(('Monthly-Inputs'!E19-'Monthly-Inputs'!E10)/MAX(1,'Monthly-Inputs'!E10),0)</f>
        <v>0</v>
      </c>
      <c r="F7" s="14">
        <f>IFERROR(('Monthly-Inputs'!F19-'Monthly-Inputs'!F10)/MAX(1,'Monthly-Inputs'!F10),0)</f>
        <v>0</v>
      </c>
      <c r="G7" s="14">
        <f>IFERROR(('Monthly-Inputs'!G19-'Monthly-Inputs'!G10)/MAX(1,'Monthly-Inputs'!G10),0)</f>
        <v>0</v>
      </c>
      <c r="H7" s="14">
        <f>IFERROR(('Monthly-Inputs'!H19-'Monthly-Inputs'!H10)/MAX(1,'Monthly-Inputs'!H10),0)</f>
        <v>0</v>
      </c>
      <c r="I7" s="14">
        <f>IFERROR(('Monthly-Inputs'!I19-'Monthly-Inputs'!I10)/MAX(1,'Monthly-Inputs'!I10),0)</f>
        <v>0</v>
      </c>
      <c r="J7" s="14">
        <f>IFERROR(('Monthly-Inputs'!J19-'Monthly-Inputs'!J10)/MAX(1,'Monthly-Inputs'!J10),0)</f>
        <v>0</v>
      </c>
      <c r="K7" s="14">
        <f>IFERROR(('Monthly-Inputs'!K19-'Monthly-Inputs'!K10)/MAX(1,'Monthly-Inputs'!K10),0)</f>
        <v>0</v>
      </c>
      <c r="L7" s="14">
        <f>IFERROR(('Monthly-Inputs'!L19-'Monthly-Inputs'!L10)/MAX(1,'Monthly-Inputs'!L10),0)</f>
        <v>0</v>
      </c>
      <c r="M7" s="14">
        <f>IFERROR(('Monthly-Inputs'!M19-'Monthly-Inputs'!M10)/MAX(1,'Monthly-Inputs'!M10),0)</f>
        <v>0</v>
      </c>
      <c r="N7" s="14">
        <f>IFERROR(('Monthly-Inputs'!N19-'Monthly-Inputs'!N10)/MAX(1,'Monthly-Inputs'!N10),0)</f>
        <v>0</v>
      </c>
      <c r="O7" s="14">
        <f>IFERROR(('Monthly-Inputs'!O19-'Monthly-Inputs'!O10)/MAX(1,'Monthly-Inputs'!O10),0)</f>
        <v>0</v>
      </c>
      <c r="P7" s="14">
        <f>IFERROR(('Monthly-Inputs'!P19-'Monthly-Inputs'!P10)/MAX(1,'Monthly-Inputs'!P10),0)</f>
        <v>0</v>
      </c>
      <c r="Q7" s="14">
        <f>IFERROR(('Monthly-Inputs'!Q19-'Monthly-Inputs'!Q10)/MAX(1,'Monthly-Inputs'!Q10),0)</f>
        <v>0</v>
      </c>
      <c r="R7" s="14">
        <f>IFERROR(('Monthly-Inputs'!R19-'Monthly-Inputs'!R10)/MAX(1,'Monthly-Inputs'!R10),0)</f>
        <v>0</v>
      </c>
      <c r="S7" s="14">
        <f>IFERROR(('Monthly-Inputs'!S19-'Monthly-Inputs'!S10)/MAX(1,'Monthly-Inputs'!S10),0)</f>
        <v>0</v>
      </c>
      <c r="T7" s="14">
        <f>IFERROR(('Monthly-Inputs'!T19-'Monthly-Inputs'!T10)/MAX(1,'Monthly-Inputs'!T10),0)</f>
        <v>0</v>
      </c>
      <c r="U7" s="14">
        <f>IFERROR(('Monthly-Inputs'!U19-'Monthly-Inputs'!U10)/MAX(1,'Monthly-Inputs'!U10),0)</f>
        <v>0</v>
      </c>
      <c r="V7" s="14">
        <f>IFERROR(('Monthly-Inputs'!V19-'Monthly-Inputs'!V10)/MAX(1,'Monthly-Inputs'!V10),0)</f>
        <v>0</v>
      </c>
      <c r="W7" s="14">
        <f>IFERROR(('Monthly-Inputs'!W19-'Monthly-Inputs'!W10)/MAX(1,'Monthly-Inputs'!W10),0)</f>
        <v>0</v>
      </c>
      <c r="X7" s="14">
        <f>IFERROR(('Monthly-Inputs'!X19-'Monthly-Inputs'!X10)/MAX(1,'Monthly-Inputs'!X10),0)</f>
        <v>0</v>
      </c>
      <c r="Y7" s="14">
        <f>IFERROR(('Monthly-Inputs'!Y19-'Monthly-Inputs'!Y10)/MAX(1,'Monthly-Inputs'!Y10),0)</f>
        <v>0</v>
      </c>
    </row>
    <row r="8" spans="1:25">
      <c r="A8" s="2" t="s">
        <v>94</v>
      </c>
      <c r="B8" s="14">
        <f>IFERROR('Monthly-Inputs'!B20-'Monthly-Inputs'!B11,0)</f>
        <v>0</v>
      </c>
      <c r="C8" s="14">
        <f>IFERROR('Monthly-Inputs'!C20-'Monthly-Inputs'!C11,0)</f>
        <v>0</v>
      </c>
      <c r="D8" s="14">
        <f>IFERROR('Monthly-Inputs'!D20-'Monthly-Inputs'!D11,0)</f>
        <v>0</v>
      </c>
      <c r="E8" s="14">
        <f>IFERROR('Monthly-Inputs'!E20-'Monthly-Inputs'!E11,0)</f>
        <v>0</v>
      </c>
      <c r="F8" s="14">
        <f>IFERROR('Monthly-Inputs'!F20-'Monthly-Inputs'!F11,0)</f>
        <v>0</v>
      </c>
      <c r="G8" s="14">
        <f>IFERROR('Monthly-Inputs'!G20-'Monthly-Inputs'!G11,0)</f>
        <v>0</v>
      </c>
      <c r="H8" s="14">
        <f>IFERROR('Monthly-Inputs'!H20-'Monthly-Inputs'!H11,0)</f>
        <v>0</v>
      </c>
      <c r="I8" s="14">
        <f>IFERROR('Monthly-Inputs'!I20-'Monthly-Inputs'!I11,0)</f>
        <v>0</v>
      </c>
      <c r="J8" s="14">
        <f>IFERROR('Monthly-Inputs'!J20-'Monthly-Inputs'!J11,0)</f>
        <v>0</v>
      </c>
      <c r="K8" s="14">
        <f>IFERROR('Monthly-Inputs'!K20-'Monthly-Inputs'!K11,0)</f>
        <v>0</v>
      </c>
      <c r="L8" s="14">
        <f>IFERROR('Monthly-Inputs'!L20-'Monthly-Inputs'!L11,0)</f>
        <v>0</v>
      </c>
      <c r="M8" s="14">
        <f>IFERROR('Monthly-Inputs'!M20-'Monthly-Inputs'!M11,0)</f>
        <v>0</v>
      </c>
      <c r="N8" s="14">
        <f>IFERROR('Monthly-Inputs'!N20-'Monthly-Inputs'!N11,0)</f>
        <v>0</v>
      </c>
      <c r="O8" s="14">
        <f>IFERROR('Monthly-Inputs'!O20-'Monthly-Inputs'!O11,0)</f>
        <v>0</v>
      </c>
      <c r="P8" s="14">
        <f>IFERROR('Monthly-Inputs'!P20-'Monthly-Inputs'!P11,0)</f>
        <v>0</v>
      </c>
      <c r="Q8" s="14">
        <f>IFERROR('Monthly-Inputs'!Q20-'Monthly-Inputs'!Q11,0)</f>
        <v>0</v>
      </c>
      <c r="R8" s="14">
        <f>IFERROR('Monthly-Inputs'!R20-'Monthly-Inputs'!R11,0)</f>
        <v>0</v>
      </c>
      <c r="S8" s="14">
        <f>IFERROR('Monthly-Inputs'!S20-'Monthly-Inputs'!S11,0)</f>
        <v>0</v>
      </c>
      <c r="T8" s="14">
        <f>IFERROR('Monthly-Inputs'!T20-'Monthly-Inputs'!T11,0)</f>
        <v>0</v>
      </c>
      <c r="U8" s="14">
        <f>IFERROR('Monthly-Inputs'!U20-'Monthly-Inputs'!U11,0)</f>
        <v>0</v>
      </c>
      <c r="V8" s="14">
        <f>IFERROR('Monthly-Inputs'!V20-'Monthly-Inputs'!V11,0)</f>
        <v>0</v>
      </c>
      <c r="W8" s="14">
        <f>IFERROR('Monthly-Inputs'!W20-'Monthly-Inputs'!W11,0)</f>
        <v>0</v>
      </c>
      <c r="X8" s="14">
        <f>IFERROR('Monthly-Inputs'!X20-'Monthly-Inputs'!X11,0)</f>
        <v>0</v>
      </c>
      <c r="Y8" s="14">
        <f>IFERROR('Monthly-Inputs'!Y20-'Monthly-Inputs'!Y11,0)</f>
        <v>0</v>
      </c>
    </row>
    <row r="9" spans="1:25">
      <c r="A9" s="2" t="s">
        <v>95</v>
      </c>
      <c r="B9" s="14">
        <f>IFERROR(('Monthly-Inputs'!B21-'Monthly-Inputs'!B12)/MAX(1,'Monthly-Inputs'!B12),0)</f>
        <v>0</v>
      </c>
      <c r="C9" s="14">
        <f>IFERROR(('Monthly-Inputs'!C21-'Monthly-Inputs'!C12)/MAX(1,'Monthly-Inputs'!C12),0)</f>
        <v>0</v>
      </c>
      <c r="D9" s="14">
        <f>IFERROR(('Monthly-Inputs'!D21-'Monthly-Inputs'!D12)/MAX(1,'Monthly-Inputs'!D12),0)</f>
        <v>0</v>
      </c>
      <c r="E9" s="14">
        <f>IFERROR(('Monthly-Inputs'!E21-'Monthly-Inputs'!E12)/MAX(1,'Monthly-Inputs'!E12),0)</f>
        <v>0</v>
      </c>
      <c r="F9" s="14">
        <f>IFERROR(('Monthly-Inputs'!F21-'Monthly-Inputs'!F12)/MAX(1,'Monthly-Inputs'!F12),0)</f>
        <v>0</v>
      </c>
      <c r="G9" s="14">
        <f>IFERROR(('Monthly-Inputs'!G21-'Monthly-Inputs'!G12)/MAX(1,'Monthly-Inputs'!G12),0)</f>
        <v>0</v>
      </c>
      <c r="H9" s="14">
        <f>IFERROR(('Monthly-Inputs'!H21-'Monthly-Inputs'!H12)/MAX(1,'Monthly-Inputs'!H12),0)</f>
        <v>0</v>
      </c>
      <c r="I9" s="14">
        <f>IFERROR(('Monthly-Inputs'!I21-'Monthly-Inputs'!I12)/MAX(1,'Monthly-Inputs'!I12),0)</f>
        <v>0</v>
      </c>
      <c r="J9" s="14">
        <f>IFERROR(('Monthly-Inputs'!J21-'Monthly-Inputs'!J12)/MAX(1,'Monthly-Inputs'!J12),0)</f>
        <v>0</v>
      </c>
      <c r="K9" s="14">
        <f>IFERROR(('Monthly-Inputs'!K21-'Monthly-Inputs'!K12)/MAX(1,'Monthly-Inputs'!K12),0)</f>
        <v>0</v>
      </c>
      <c r="L9" s="14">
        <f>IFERROR(('Monthly-Inputs'!L21-'Monthly-Inputs'!L12)/MAX(1,'Monthly-Inputs'!L12),0)</f>
        <v>0</v>
      </c>
      <c r="M9" s="14">
        <f>IFERROR(('Monthly-Inputs'!M21-'Monthly-Inputs'!M12)/MAX(1,'Monthly-Inputs'!M12),0)</f>
        <v>0</v>
      </c>
      <c r="N9" s="14">
        <f>IFERROR(('Monthly-Inputs'!N21-'Monthly-Inputs'!N12)/MAX(1,'Monthly-Inputs'!N12),0)</f>
        <v>0</v>
      </c>
      <c r="O9" s="14">
        <f>IFERROR(('Monthly-Inputs'!O21-'Monthly-Inputs'!O12)/MAX(1,'Monthly-Inputs'!O12),0)</f>
        <v>0</v>
      </c>
      <c r="P9" s="14">
        <f>IFERROR(('Monthly-Inputs'!P21-'Monthly-Inputs'!P12)/MAX(1,'Monthly-Inputs'!P12),0)</f>
        <v>0</v>
      </c>
      <c r="Q9" s="14">
        <f>IFERROR(('Monthly-Inputs'!Q21-'Monthly-Inputs'!Q12)/MAX(1,'Monthly-Inputs'!Q12),0)</f>
        <v>0</v>
      </c>
      <c r="R9" s="14">
        <f>IFERROR(('Monthly-Inputs'!R21-'Monthly-Inputs'!R12)/MAX(1,'Monthly-Inputs'!R12),0)</f>
        <v>0</v>
      </c>
      <c r="S9" s="14">
        <f>IFERROR(('Monthly-Inputs'!S21-'Monthly-Inputs'!S12)/MAX(1,'Monthly-Inputs'!S12),0)</f>
        <v>0</v>
      </c>
      <c r="T9" s="14">
        <f>IFERROR(('Monthly-Inputs'!T21-'Monthly-Inputs'!T12)/MAX(1,'Monthly-Inputs'!T12),0)</f>
        <v>0</v>
      </c>
      <c r="U9" s="14">
        <f>IFERROR(('Monthly-Inputs'!U21-'Monthly-Inputs'!U12)/MAX(1,'Monthly-Inputs'!U12),0)</f>
        <v>0</v>
      </c>
      <c r="V9" s="14">
        <f>IFERROR(('Monthly-Inputs'!V21-'Monthly-Inputs'!V12)/MAX(1,'Monthly-Inputs'!V12),0)</f>
        <v>0</v>
      </c>
      <c r="W9" s="14">
        <f>IFERROR(('Monthly-Inputs'!W21-'Monthly-Inputs'!W12)/MAX(1,'Monthly-Inputs'!W12),0)</f>
        <v>0</v>
      </c>
      <c r="X9" s="14">
        <f>IFERROR(('Monthly-Inputs'!X21-'Monthly-Inputs'!X12)/MAX(1,'Monthly-Inputs'!X12),0)</f>
        <v>0</v>
      </c>
      <c r="Y9" s="14">
        <f>IFERROR(('Monthly-Inputs'!Y21-'Monthly-Inputs'!Y12)/MAX(1,'Monthly-Inputs'!Y12),0)</f>
        <v>0</v>
      </c>
    </row>
    <row r="11" spans="1:25">
      <c r="A11" s="2" t="s">
        <v>96</v>
      </c>
      <c r="B11" s="15">
        <f>IF(MAX(ABS(B4),ABS(B5),ABS(B6),ABS(B7),ABS(B8),ABS(B9))&gt;Var_Thresh,"REPLAN","OK")</f>
        <v>0</v>
      </c>
      <c r="C11" s="15">
        <f>IF(MAX(ABS(C4),ABS(C5),ABS(C6),ABS(C7),ABS(C8),ABS(C9))&gt;Var_Thresh,"REPLAN","OK")</f>
        <v>0</v>
      </c>
      <c r="D11" s="15">
        <f>IF(MAX(ABS(D4),ABS(D5),ABS(D6),ABS(D7),ABS(D8),ABS(D9))&gt;Var_Thresh,"REPLAN","OK")</f>
        <v>0</v>
      </c>
      <c r="E11" s="15">
        <f>IF(MAX(ABS(E4),ABS(E5),ABS(E6),ABS(E7),ABS(E8),ABS(E9))&gt;Var_Thresh,"REPLAN","OK")</f>
        <v>0</v>
      </c>
      <c r="F11" s="15">
        <f>IF(MAX(ABS(F4),ABS(F5),ABS(F6),ABS(F7),ABS(F8),ABS(F9))&gt;Var_Thresh,"REPLAN","OK")</f>
        <v>0</v>
      </c>
      <c r="G11" s="15">
        <f>IF(MAX(ABS(G4),ABS(G5),ABS(G6),ABS(G7),ABS(G8),ABS(G9))&gt;Var_Thresh,"REPLAN","OK")</f>
        <v>0</v>
      </c>
      <c r="H11" s="15">
        <f>IF(MAX(ABS(H4),ABS(H5),ABS(H6),ABS(H7),ABS(H8),ABS(H9))&gt;Var_Thresh,"REPLAN","OK")</f>
        <v>0</v>
      </c>
      <c r="I11" s="15">
        <f>IF(MAX(ABS(I4),ABS(I5),ABS(I6),ABS(I7),ABS(I8),ABS(I9))&gt;Var_Thresh,"REPLAN","OK")</f>
        <v>0</v>
      </c>
      <c r="J11" s="15">
        <f>IF(MAX(ABS(J4),ABS(J5),ABS(J6),ABS(J7),ABS(J8),ABS(J9))&gt;Var_Thresh,"REPLAN","OK")</f>
        <v>0</v>
      </c>
      <c r="K11" s="15">
        <f>IF(MAX(ABS(K4),ABS(K5),ABS(K6),ABS(K7),ABS(K8),ABS(K9))&gt;Var_Thresh,"REPLAN","OK")</f>
        <v>0</v>
      </c>
      <c r="L11" s="15">
        <f>IF(MAX(ABS(L4),ABS(L5),ABS(L6),ABS(L7),ABS(L8),ABS(L9))&gt;Var_Thresh,"REPLAN","OK")</f>
        <v>0</v>
      </c>
      <c r="M11" s="15">
        <f>IF(MAX(ABS(M4),ABS(M5),ABS(M6),ABS(M7),ABS(M8),ABS(M9))&gt;Var_Thresh,"REPLAN","OK")</f>
        <v>0</v>
      </c>
      <c r="N11" s="15">
        <f>IF(MAX(ABS(N4),ABS(N5),ABS(N6),ABS(N7),ABS(N8),ABS(N9))&gt;Var_Thresh,"REPLAN","OK")</f>
        <v>0</v>
      </c>
      <c r="O11" s="15">
        <f>IF(MAX(ABS(O4),ABS(O5),ABS(O6),ABS(O7),ABS(O8),ABS(O9))&gt;Var_Thresh,"REPLAN","OK")</f>
        <v>0</v>
      </c>
      <c r="P11" s="15">
        <f>IF(MAX(ABS(P4),ABS(P5),ABS(P6),ABS(P7),ABS(P8),ABS(P9))&gt;Var_Thresh,"REPLAN","OK")</f>
        <v>0</v>
      </c>
      <c r="Q11" s="15">
        <f>IF(MAX(ABS(Q4),ABS(Q5),ABS(Q6),ABS(Q7),ABS(Q8),ABS(Q9))&gt;Var_Thresh,"REPLAN","OK")</f>
        <v>0</v>
      </c>
      <c r="R11" s="15">
        <f>IF(MAX(ABS(R4),ABS(R5),ABS(R6),ABS(R7),ABS(R8),ABS(R9))&gt;Var_Thresh,"REPLAN","OK")</f>
        <v>0</v>
      </c>
      <c r="S11" s="15">
        <f>IF(MAX(ABS(S4),ABS(S5),ABS(S6),ABS(S7),ABS(S8),ABS(S9))&gt;Var_Thresh,"REPLAN","OK")</f>
        <v>0</v>
      </c>
      <c r="T11" s="15">
        <f>IF(MAX(ABS(T4),ABS(T5),ABS(T6),ABS(T7),ABS(T8),ABS(T9))&gt;Var_Thresh,"REPLAN","OK")</f>
        <v>0</v>
      </c>
      <c r="U11" s="15">
        <f>IF(MAX(ABS(U4),ABS(U5),ABS(U6),ABS(U7),ABS(U8),ABS(U9))&gt;Var_Thresh,"REPLAN","OK")</f>
        <v>0</v>
      </c>
      <c r="V11" s="15">
        <f>IF(MAX(ABS(V4),ABS(V5),ABS(V6),ABS(V7),ABS(V8),ABS(V9))&gt;Var_Thresh,"REPLAN","OK")</f>
        <v>0</v>
      </c>
      <c r="W11" s="15">
        <f>IF(MAX(ABS(W4),ABS(W5),ABS(W6),ABS(W7),ABS(W8),ABS(W9))&gt;Var_Thresh,"REPLAN","OK")</f>
        <v>0</v>
      </c>
      <c r="X11" s="15">
        <f>IF(MAX(ABS(X4),ABS(X5),ABS(X6),ABS(X7),ABS(X8),ABS(X9))&gt;Var_Thresh,"REPLAN","OK")</f>
        <v>0</v>
      </c>
      <c r="Y11" s="15">
        <f>IF(MAX(ABS(Y4),ABS(Y5),ABS(Y6),ABS(Y7),ABS(Y8),ABS(Y9))&gt;Var_Thresh,"REPLAN","OK")</f>
        <v>0</v>
      </c>
    </row>
  </sheetData>
  <mergeCells count="1">
    <mergeCell ref="A1:Y1"/>
  </mergeCells>
  <conditionalFormatting sqref="B11:Y11">
    <cfRule type="containsText" dxfId="2" priority="1" operator="containsText" text="REPLAN">
      <formula>NOT(ISERROR(SEARCH("REPLAN",B11)))</formula>
    </cfRule>
    <cfRule type="containsText" dxfId="0" priority="2" operator="containsText" text="OK">
      <formula>NOT(ISERROR(SEARCH("OK",B11)))</formula>
    </cfRule>
  </conditionalFormatting>
  <conditionalFormatting sqref="B4:Y9">
    <cfRule type="colorScale" priority="3">
      <colorScale>
        <cfvo type="num" val="-0.25"/>
        <cfvo type="num" val="0"/>
        <cfvo type="num" val="0.25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32.7109375" customWidth="1"/>
    <col min="2" max="2" width="95.7109375" customWidth="1"/>
  </cols>
  <sheetData>
    <row r="1" spans="1:2" ht="30" customHeight="1">
      <c r="A1" s="16" t="s">
        <v>97</v>
      </c>
      <c r="B1" s="16"/>
    </row>
    <row r="3" spans="1:2" ht="60" customHeight="1">
      <c r="A3" s="2" t="s">
        <v>98</v>
      </c>
      <c r="B3" s="17" t="s">
        <v>99</v>
      </c>
    </row>
    <row r="4" spans="1:2" ht="60" customHeight="1">
      <c r="A4" s="2" t="s">
        <v>100</v>
      </c>
      <c r="B4" s="17" t="s">
        <v>101</v>
      </c>
    </row>
    <row r="5" spans="1:2" ht="60" customHeight="1">
      <c r="A5" s="2" t="s">
        <v>102</v>
      </c>
      <c r="B5" s="17" t="s">
        <v>103</v>
      </c>
    </row>
    <row r="6" spans="1:2" ht="60" customHeight="1">
      <c r="A6" s="2" t="s">
        <v>104</v>
      </c>
      <c r="B6" s="17" t="s">
        <v>105</v>
      </c>
    </row>
    <row r="7" spans="1:2" ht="60" customHeight="1">
      <c r="A7" s="2" t="s">
        <v>106</v>
      </c>
      <c r="B7" s="17" t="s">
        <v>107</v>
      </c>
    </row>
    <row r="8" spans="1:2" ht="60" customHeight="1">
      <c r="A8" s="2" t="s">
        <v>108</v>
      </c>
      <c r="B8" s="17" t="s">
        <v>109</v>
      </c>
    </row>
    <row r="9" spans="1:2" ht="60" customHeight="1">
      <c r="A9" s="2" t="s">
        <v>110</v>
      </c>
      <c r="B9" s="17" t="s">
        <v>111</v>
      </c>
    </row>
    <row r="10" spans="1:2" ht="60" customHeight="1">
      <c r="A10" s="2" t="s">
        <v>112</v>
      </c>
      <c r="B10" s="17" t="s">
        <v>113</v>
      </c>
    </row>
    <row r="11" spans="1:2" ht="60" customHeight="1">
      <c r="A11" s="2" t="s">
        <v>114</v>
      </c>
      <c r="B11" s="17" t="s">
        <v>115</v>
      </c>
    </row>
    <row r="12" spans="1:2" ht="60" customHeight="1">
      <c r="A12" s="2" t="s">
        <v>116</v>
      </c>
      <c r="B12" s="17" t="s">
        <v>117</v>
      </c>
    </row>
    <row r="13" spans="1:2" ht="60" customHeight="1">
      <c r="A13" s="2" t="s">
        <v>118</v>
      </c>
      <c r="B13" s="17" t="s">
        <v>119</v>
      </c>
    </row>
    <row r="14" spans="1:2" ht="60" customHeight="1">
      <c r="A14" s="2" t="s">
        <v>120</v>
      </c>
      <c r="B14" s="17" t="s">
        <v>121</v>
      </c>
    </row>
    <row r="15" spans="1:2" ht="60" customHeight="1">
      <c r="A15" s="2" t="s">
        <v>122</v>
      </c>
      <c r="B15" s="17" t="s">
        <v>123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README</vt:lpstr>
      <vt:lpstr>Monthly-Inputs</vt:lpstr>
      <vt:lpstr>KPI-Dashboard</vt:lpstr>
      <vt:lpstr>Variance-Tracker</vt:lpstr>
      <vt:lpstr>Africa-Notes</vt:lpstr>
      <vt:lpstr>ARPA_LP</vt:lpstr>
      <vt:lpstr>CAC_LP</vt:lpstr>
      <vt:lpstr>Var_Thresh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2026-05-11T12:52:34Z</dcterms:created>
  <dcterms:modified xsi:type="dcterms:W3CDTF">2026-05-11T12:52:34Z</dcterms:modified>
</cp:coreProperties>
</file>