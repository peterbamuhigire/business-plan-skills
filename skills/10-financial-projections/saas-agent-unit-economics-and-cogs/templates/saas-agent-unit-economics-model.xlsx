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Cohort" sheetId="3" r:id="rId3"/>
    <sheet name="Unit-Economics" sheetId="4" r:id="rId4"/>
    <sheet name="Wrapper-vs-Moat-Scoring" sheetId="5" r:id="rId5"/>
    <sheet name="AI-vs-Agent-Comparison" sheetId="6" r:id="rId6"/>
    <sheet name="Dashboard" sheetId="7" r:id="rId7"/>
    <sheet name="Stress-Test" sheetId="8" r:id="rId8"/>
    <sheet name="Africa-Notes" sheetId="9" r:id="rId9"/>
  </sheets>
  <definedNames>
    <definedName name="AG_ACV">Inputs!$B$16</definedName>
    <definedName name="AG_AgInt">Inputs!$B$60</definedName>
    <definedName name="AG_ARPA">Inputs!$B$18</definedName>
    <definedName name="AG_Blend_CPR">Inputs!$B$27</definedName>
    <definedName name="AG_Burn">Inputs!$B$53</definedName>
    <definedName name="AG_CAC">Inputs!$B$48</definedName>
    <definedName name="AG_Cash">Inputs!$B$56</definedName>
    <definedName name="AG_Contr">Inputs!$B$35</definedName>
    <definedName name="AG_Exp">Inputs!$B$34</definedName>
    <definedName name="AG_FCF">Inputs!$B$55</definedName>
    <definedName name="AG_FX_UGX">Inputs!$B$73</definedName>
    <definedName name="AG_GM">Inputs!$B$28</definedName>
    <definedName name="AG_Growth">Inputs!$B$54</definedName>
    <definedName name="AG_HMin">Inputs!$B$61</definedName>
    <definedName name="AG_HRate">Inputs!$B$62</definedName>
    <definedName name="AG_Invol">Inputs!$B$36</definedName>
    <definedName name="AG_LogoChurn">Inputs!$B$31</definedName>
    <definedName name="AG_M0_Res">Inputs!$B$9</definedName>
    <definedName name="AG_M12_Res">Inputs!$B$10</definedName>
    <definedName name="AG_M24_Res">Inputs!$B$11</definedName>
    <definedName name="AG_NewARR">Inputs!$B$52</definedName>
    <definedName name="AG_NewLogos">Inputs!$B$49</definedName>
    <definedName name="AG_PriceRes">Inputs!$B$8</definedName>
    <definedName name="AG_PriorSM">Inputs!$B$51</definedName>
    <definedName name="AG_ResAg">Inputs!$B$64</definedName>
    <definedName name="AG_ResSup">Inputs!$B$63</definedName>
    <definedName name="AG_RetMult">Inputs!$B$33</definedName>
    <definedName name="AG_RevChurn">Inputs!$B$32</definedName>
    <definedName name="AG_SM">Inputs!$B$50</definedName>
    <definedName name="AG_SubARPA">Inputs!$B$15</definedName>
    <definedName name="AG_SupInt">Inputs!$B$59</definedName>
    <definedName name="AG_Upgrade">Inputs!$B$37</definedName>
    <definedName name="Tgt_GM">Inputs!$B$71</definedName>
    <definedName name="Tgt_LTV_CAC">Inputs!$B$67</definedName>
    <definedName name="Tgt_NRR">Inputs!$B$70</definedName>
    <definedName name="Tgt_Pay">Inputs!$B$68</definedName>
    <definedName name="Tgt_R40">Inputs!$B$69</definedName>
    <definedName name="Wrap_Min">Inputs!$B$72</definedName>
    <definedName name="Wrap_Modifier">'Wrapper-vs-Moat-Scoring'!$C$16</definedName>
    <definedName name="Wrap_Score">'Wrapper-vs-Moat-Scoring'!$C$14</definedName>
  </definedNames>
  <calcPr calcId="124519" fullCalcOnLoad="1"/>
</workbook>
</file>

<file path=xl/sharedStrings.xml><?xml version="1.0" encoding="utf-8"?>
<sst xmlns="http://schemas.openxmlformats.org/spreadsheetml/2006/main" count="376" uniqueCount="346">
  <si>
    <t>SaaS Agent Unit Economics Model</t>
  </si>
  <si>
    <t>Purpose</t>
  </si>
  <si>
    <t>End-to-end agent-business unit economics. Cohort retention with supervised-vs-agentic phase split (first 3 months heavy HITL, then autonomy ramp). Multi-LTV formulations (simple, with churn, with expansion, GM-adjusted, with HITL-cost-ramp). Agent LTV:CAC, CAC payback, NRR, GRR, Rule of 40, Magic Number, Burn Multiple, Quick Ratio. Cost-per-resolved-task trend across 24 months (autonomy progression hypothesis). Wrapper-vs-Moat scorecard (the 8-question rubric, each 0-3) drives a valuation-multiplier modifier. AI-vs-Agent comparison on identical tenant base shows why agent economics are materially different from SaaS + AI overlay. Stress-test sheet applies the same shock set as the cost-per-task workbook to full unit economics and reports runway impact.</t>
  </si>
  <si>
    <t>Sheets in this workbook</t>
  </si>
  <si>
    <t>Inputs</t>
  </si>
  <si>
    <t>Yellow cells. Agent ARR by tier, ACV, GM baseline, churn, CAC by channel, HITL-cost ratio, retention multipliers, expansion mechanics, autonomy progression.</t>
  </si>
  <si>
    <t>Cohort</t>
  </si>
  <si>
    <t>24-month logo+revenue cohort. Supervised period (M0-M2, intervention heavy) → Agentic period (M3-M24, autonomy ramp drives expansion). Resolution-per-tenant grows with autonomy tier.</t>
  </si>
  <si>
    <t>Unit-Economics</t>
  </si>
  <si>
    <t>Five LTV formulations; CAC payback; LTV:CAC; NRR/GRR; Magic Number; Rule of 40; Burn Multiple; Quick Ratio. Plus cost-per-resolved-task trend + HITL ratio trend.</t>
  </si>
  <si>
    <t>Wrapper-vs-Moat-Scoring</t>
  </si>
  <si>
    <t>Eight 0-3 scored cells per the rubric (proprietary tools, action data, integration depth, eval-loop, trust, regulatory, switching, distribution). Score / 24 → valuation modifier.</t>
  </si>
  <si>
    <t>AI-vs-Agent-Comparison</t>
  </si>
  <si>
    <t>Side-by-side: SaaS baseline vs AI overlay vs Agent — on identical tenant base. Highlights cost structure, expansion mechanics, and LTV:CAC delta.</t>
  </si>
  <si>
    <t>Dashboard</t>
  </si>
  <si>
    <t>Traffic lights for: LTV:CAC, CAC payback, Rule of 40, agent GM, NRR, wrapper score, HITL ratio trend. Charts: cohort retention, cost/resolved trend, agent revenue mix.</t>
  </si>
  <si>
    <t>Stress-Test</t>
  </si>
  <si>
    <t>Six pre-coded shocks applied to the full unit economics (not just cost): Provider 5x, Intervention 2x, Model deprecation 2x, Tool outage 3x, Abandonment improvement, Combined. Runway impact in months.</t>
  </si>
  <si>
    <t>Africa-Notes</t>
  </si>
  <si>
    <t>FX, mobile-money fee impact, longer collections on SLA-tied per-resolution, USD enterprise tier, sovereign-AI premium, low HITL floor.</t>
  </si>
  <si>
    <t>Owner</t>
  </si>
  <si>
    <t>CFO + Head of Agent (joint). Wrapper-vs-Moat sheet co-owned with CEO + Head of Product. Cohort sheet co-owned with Eval Engineer (resolution rate trend).</t>
  </si>
  <si>
    <t>Update cadence</t>
  </si>
  <si>
    <t>Monthly: full unit-economics refresh; agent gross margin; HITL share; cost-per-resolved trend. Quarterly: cohort re-fit; Wrapper-vs-Moat rescoring; AI-vs-Agent comparison re-run; stress-test refresh. Variance &gt;+15% on cost-per-resolved or &lt;-3pp on agent GM MoM triggers a re-plan loop.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</si>
  <si>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</si>
  <si>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</si>
  <si>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</si>
  <si>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saas-agent-unit-economics-template.md, saas-agent-moats-and-wrapper-risk-checklist.md, saas-agent-cost-per-task-calculator.xlsx (this engine's cost feed), saas-unit-economics-model.xlsx (SaaS baseline for AI-vs-Agent comparison). Mersch CFO discipline; Cotton SaaS rule-of-3-and-10; Skok LTV:CAC.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</si>
  <si>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</si>
  <si>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</si>
  <si>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Inputs — Agent Unit Economics</t>
  </si>
  <si>
    <t>Yellow = input. White = formula. Agent business = subscription + per-resolution hybrid.</t>
  </si>
  <si>
    <t>1. Agent ARR by Tier</t>
  </si>
  <si>
    <t>Free tier MRR ($)</t>
  </si>
  <si>
    <t>Self-serve, may be $0; bundled with per-resolution metering only.</t>
  </si>
  <si>
    <t>Pro tier MRR ($)</t>
  </si>
  <si>
    <t>Subscription + per-resolution bundle. Higher than non-agent Pro ($79).</t>
  </si>
  <si>
    <t>Enterprise tier MRR ($)</t>
  </si>
  <si>
    <t>Enterprise agent — typically 2-3x non-agent Ent because per-outcome value.</t>
  </si>
  <si>
    <t>Per-resolved-task price avg ($)</t>
  </si>
  <si>
    <t>Blended across tiers for cohort-driven per-resolution revenue.</t>
  </si>
  <si>
    <t>Resolutions/tenant/month (M0)</t>
  </si>
  <si>
    <t>Supervised period start. Low autonomy = lower volume.</t>
  </si>
  <si>
    <t>Resolutions/tenant/month (M12)</t>
  </si>
  <si>
    <t>Full agentic period. Autonomy progression drives expansion.</t>
  </si>
  <si>
    <t>Resolutions/tenant/month (M24)</t>
  </si>
  <si>
    <t>Mature; tier-upgrade pushes deeper agent use.</t>
  </si>
  <si>
    <t>% customers Free</t>
  </si>
  <si>
    <t>% customers Pro</t>
  </si>
  <si>
    <t>% customers Enterprise</t>
  </si>
  <si>
    <t>Blended subscription MRR ($) [calc]</t>
  </si>
  <si>
    <t>Σ tier MRR × tier mix.</t>
  </si>
  <si>
    <t>Blended ACV (subscription only) ($) [calc]</t>
  </si>
  <si>
    <t>Blended monthly per-resolution rev (M12 anchor) [calc]</t>
  </si>
  <si>
    <t>Total blended ARPA (subscription + per-resolution) [calc]</t>
  </si>
  <si>
    <t>2. Agent GM Baseline (cross-ref cost-per-task workbook)</t>
  </si>
  <si>
    <t>Cost per resolved task — Enterprise tier ($)</t>
  </si>
  <si>
    <t>Paste from saas-agent-cost-per-task-calculator.xlsx → Dashboard.</t>
  </si>
  <si>
    <t>Cost per resolved task — Pro tier ($)</t>
  </si>
  <si>
    <t>Cost per resolved task — Free tier ($)</t>
  </si>
  <si>
    <t>HITL-cost ratio (% of agent COGS)</t>
  </si>
  <si>
    <t>Headline HITL share — declining trend is a strong signal.</t>
  </si>
  <si>
    <t>Other COGS % of subscription rev (hosting + support + payment)</t>
  </si>
  <si>
    <t>Agent baseline gross margin (target)</t>
  </si>
  <si>
    <t>Target benchmark; computed actuals reported below.</t>
  </si>
  <si>
    <t>Blended cost per resolved ($) [calc]</t>
  </si>
  <si>
    <t>Agent GM% (actual) [calc]</t>
  </si>
  <si>
    <t>3. Churn / Expansion / Autonomy-Retention Coupling</t>
  </si>
  <si>
    <t>Monthly logo churn — baseline</t>
  </si>
  <si>
    <t>Agent businesses tend toward lower churn due to deep integration.</t>
  </si>
  <si>
    <t>Monthly revenue churn — baseline</t>
  </si>
  <si>
    <t>Retention multiplier from better resolution (per +10pp)</t>
  </si>
  <si>
    <t>If resolution rate rises +10pp, monthly churn × 0.85. Strong signal.</t>
  </si>
  <si>
    <t>Monthly expansion (per-resolution growth)</t>
  </si>
  <si>
    <t>Net growth in per-resolution volume by tenant per month (autonomy-progression-driven).</t>
  </si>
  <si>
    <t>Monthly contraction</t>
  </si>
  <si>
    <t>Involuntary churn (payment fail)</t>
  </si>
  <si>
    <t>Tier-upgrade rate (Pro→Ent per month)</t>
  </si>
  <si>
    <t>Autonomy-tier upgrade — drives expansion ARR.</t>
  </si>
  <si>
    <t>4. CAC by Channel — PLG vs Sales-Led</t>
  </si>
  <si>
    <t>PLG / self-serve CAC ($)</t>
  </si>
  <si>
    <t>Inbound / content CAC ($)</t>
  </si>
  <si>
    <t>Outbound / sales-led CAC ($)</t>
  </si>
  <si>
    <t>Partner / channel CAC ($)</t>
  </si>
  <si>
    <t>% logos via PLG</t>
  </si>
  <si>
    <t>% logos via inbound</t>
  </si>
  <si>
    <t>% logos via outbound</t>
  </si>
  <si>
    <t>% logos via partner</t>
  </si>
  <si>
    <t>Blended agent CAC ($) [calc]</t>
  </si>
  <si>
    <t>New logos in quarter (count)</t>
  </si>
  <si>
    <t>S&amp;M spend in quarter ($)</t>
  </si>
  <si>
    <t>Prior-quarter S&amp;M spend ($)</t>
  </si>
  <si>
    <t>Net new ARR added in quarter ($)</t>
  </si>
  <si>
    <t>Net cash burn in quarter ($)</t>
  </si>
  <si>
    <t>YoY revenue growth %</t>
  </si>
  <si>
    <t>FCF margin %</t>
  </si>
  <si>
    <t>Cash on hand ($)</t>
  </si>
  <si>
    <t>5. Supervised-vs-Agentic HITL Ramp</t>
  </si>
  <si>
    <t>Supervised-period HITL intervention rate (M0-M2)</t>
  </si>
  <si>
    <t>First 3 months — heavy supervision; high cost per task.</t>
  </si>
  <si>
    <t>Agentic-period HITL intervention rate (M3-M24)</t>
  </si>
  <si>
    <t>Autonomy ramp brings intervention rate down materially.</t>
  </si>
  <si>
    <t>HITL minutes per intervention</t>
  </si>
  <si>
    <t>HITL fully-loaded $/min</t>
  </si>
  <si>
    <t>Resolution rate — supervised period</t>
  </si>
  <si>
    <t>Resolution rate — agentic period</t>
  </si>
  <si>
    <t>6. Targets, Benchmarks &amp; FX</t>
  </si>
  <si>
    <t>Agent LTV:CAC target (&gt;=3 healthy)</t>
  </si>
  <si>
    <t>Agent CAC payback target (months)</t>
  </si>
  <si>
    <t>Rule of 40 target</t>
  </si>
  <si>
    <t>Agent NRR target</t>
  </si>
  <si>
    <t>Agent GM target</t>
  </si>
  <si>
    <t>Wrapper-score min for non-discount (15/24)</t>
  </si>
  <si>
    <t>FX rate UGX per USD</t>
  </si>
  <si>
    <t>Cohort — 24-Month Logo + Revenue + Resolution Per Tenant</t>
  </si>
  <si>
    <t>Supervised period M0-M2: intervention 40%, resolution 65%. Agentic period M3-M24: intervention 10%, resolution 85%, expansion compounds.</t>
  </si>
  <si>
    <t>Month from acquisition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</si>
  <si>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</si>
  <si>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</si>
  <si>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</si>
  <si>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</si>
  <si>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</si>
  <si>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</si>
  <si>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</si>
  <si>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</si>
  <si>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</si>
  <si>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</si>
  <si>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</si>
  <si>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</si>
  <si>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</si>
  <si>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</si>
  <si>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</si>
  <si>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</si>
  <si>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</si>
  <si>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</si>
  <si>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</si>
  <si>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</si>
  <si>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</si>
  <si>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</si>
  <si>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</si>
  <si>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</si>
  <si>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</si>
  <si>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Logo retention (%)</t>
  </si>
  <si>
    <t>Single illustrative cohort</t>
  </si>
  <si>
    <t>Revenue retention (NRR, smile curve)</t>
  </si>
  <si>
    <t>Resolutions per tenant / month</t>
  </si>
  <si>
    <t>Autonomy-driven volume</t>
  </si>
  <si>
    <t>HITL intervention rate %</t>
  </si>
  <si>
    <t>Supervised → agentic ramp</t>
  </si>
  <si>
    <t>Revenue per tenant / month ($)</t>
  </si>
  <si>
    <t>Sub + per-resolution</t>
  </si>
  <si>
    <t>Cost per tenant / month ($)</t>
  </si>
  <si>
    <t>Cost-per-resolved × resolutions/month</t>
  </si>
  <si>
    <t>GM per tenant / month ($)</t>
  </si>
  <si>
    <t>Rev − cost</t>
  </si>
  <si>
    <t>Agent Unit Economics — Five LTV Methods + Full Metric Stack</t>
  </si>
  <si>
    <t>All formulas reference named ranges on Inputs.</t>
  </si>
  <si>
    <t>Metric</t>
  </si>
  <si>
    <t>Value</t>
  </si>
  <si>
    <t>Unit</t>
  </si>
  <si>
    <t>Target</t>
  </si>
  <si>
    <t>Method / interpretation</t>
  </si>
  <si>
    <t>Agent LTV — simple</t>
  </si>
  <si>
    <t>$</t>
  </si>
  <si>
    <t>n/a</t>
  </si>
  <si>
    <t>ARPA / monthly logo churn</t>
  </si>
  <si>
    <t>Agent LTV — with churn (revenue)</t>
  </si>
  <si>
    <t>ARPA / monthly revenue churn</t>
  </si>
  <si>
    <t>Agent LTV — with expansion (NRR)</t>
  </si>
  <si>
    <t>cap at 60mo</t>
  </si>
  <si>
    <t>NRR&gt;100% → cap horizon</t>
  </si>
  <si>
    <t>Agent LTV — GM-adjusted</t>
  </si>
  <si>
    <t>ARPA × GM% / churn (Skok/Mersch standard)</t>
  </si>
  <si>
    <t>Agent LTV — with HITL-cost ramp (agentic period)</t>
  </si>
  <si>
    <t>headline</t>
  </si>
  <si>
    <t>Adjusts GM by autonomy ramp: agentic intervention vs supervised baseline</t>
  </si>
  <si>
    <t>Agent CAC</t>
  </si>
  <si>
    <t>Σ channel CAC × channel mix</t>
  </si>
  <si>
    <t>Agent CAC payback (months)</t>
  </si>
  <si>
    <t>months</t>
  </si>
  <si>
    <t>&lt;=Tgt_Pay</t>
  </si>
  <si>
    <t>CAC / (ARPA × GM%)</t>
  </si>
  <si>
    <t>Agent LTV:CAC</t>
  </si>
  <si>
    <t>ratio</t>
  </si>
  <si>
    <t>&gt;=3</t>
  </si>
  <si>
    <t>GM-adjusted LTV / CAC</t>
  </si>
  <si>
    <t>Agent NRR (annual)</t>
  </si>
  <si>
    <t>%</t>
  </si>
  <si>
    <t>&gt;=Tgt_NRR</t>
  </si>
  <si>
    <t>1 + 12×(exp − rev_churn − contraction)</t>
  </si>
  <si>
    <t>Agent GRR (annual)</t>
  </si>
  <si>
    <t>&gt;=85%</t>
  </si>
  <si>
    <t>1 − annualised revenue churn</t>
  </si>
  <si>
    <t>Agent Magic Number</t>
  </si>
  <si>
    <t>&gt;=1 invest</t>
  </si>
  <si>
    <t>Net New ARR × 4 / prior-quarter S&amp;M</t>
  </si>
  <si>
    <t>Rule of 40 (growth + FCF margin)</t>
  </si>
  <si>
    <t>&gt;=Tgt_R40</t>
  </si>
  <si>
    <t>YoY growth + FCF margin</t>
  </si>
  <si>
    <t>Burn Multiple</t>
  </si>
  <si>
    <t>&lt;2 healthy</t>
  </si>
  <si>
    <t>Net burn / Net new ARR</t>
  </si>
  <si>
    <t>Quick Ratio</t>
  </si>
  <si>
    <t>&gt;=2</t>
  </si>
  <si>
    <t>(new MRR + expansion) / (churn + contraction)</t>
  </si>
  <si>
    <t>Runway (months at current burn)</t>
  </si>
  <si>
    <t>&gt;=18</t>
  </si>
  <si>
    <t>Cash / (quarterly burn / 3)</t>
  </si>
  <si>
    <t>Cost-per-resolved-task trend M0 → M12</t>
  </si>
  <si>
    <t>declining</t>
  </si>
  <si>
    <t>Should decline as autonomy increases and HITL share falls</t>
  </si>
  <si>
    <t>HITL ratio trend M0 → M12 (Δ)</t>
  </si>
  <si>
    <t>positive</t>
  </si>
  <si>
    <t>Supervised − Agentic; bigger = better trajectory</t>
  </si>
  <si>
    <t>Subscription % of total ARR</t>
  </si>
  <si>
    <t>Higher = closer to classic SaaS</t>
  </si>
  <si>
    <t>Per-resolution % of total ARR</t>
  </si>
  <si>
    <t>Mix tilt toward outcome-based pricing</t>
  </si>
  <si>
    <t>Wrapper-vs-Moat Scorecard — 8 Questions × (0-3)</t>
  </si>
  <si>
    <t>Score 0=absent / 1=early / 2=real-improvable / 3=strong-compounding. Total / 24 drives valuation modifier.</t>
  </si>
  <si>
    <t>#</t>
  </si>
  <si>
    <t>Question</t>
  </si>
  <si>
    <t>Score</t>
  </si>
  <si>
    <t>Anchor (3 = strong compounding moat)</t>
  </si>
  <si>
    <t>Q1</t>
  </si>
  <si>
    <t>Proprietary tools</t>
  </si>
  <si>
    <t>Multiple proprietary tools; quarters/years to build; embodies regulatory/vertical knowledge.</t>
  </si>
  <si>
    <t>Q2</t>
  </si>
  <si>
    <t>Proprietary action data flywheel</t>
  </si>
  <si>
    <t>Action data accrues per customer/interaction; flywheel improves YOUR agent; data exclusive.</t>
  </si>
  <si>
    <t>Q3</t>
  </si>
  <si>
    <t>Integration depth</t>
  </si>
  <si>
    <t>Deep integration across multiple systems-of-record with audit + identity + billing.</t>
  </si>
  <si>
    <t>Q4</t>
  </si>
  <si>
    <t>Eval-loop (proprietary)</t>
  </si>
  <si>
    <t>Proprietary eval suite on customer data; demonstrable improvement; eval is itself a moat.</t>
  </si>
  <si>
    <t>Q5</t>
  </si>
  <si>
    <t>Customer trust / brand</t>
  </si>
  <si>
    <t>Marquee/lighthouse references; public-sector / regulator references.</t>
  </si>
  <si>
    <t>Q6</t>
  </si>
  <si>
    <t>Regulatory clearance</t>
  </si>
  <si>
    <t>Multiple regulator engagements; accepted audit log; sectoral approval.</t>
  </si>
  <si>
    <t>Q7</t>
  </si>
  <si>
    <t>Switching cost</t>
  </si>
  <si>
    <t>Years of accrued data, deep integration, regulator-attached audit, vertical config.</t>
  </si>
  <si>
    <t>Q8</t>
  </si>
  <si>
    <t>Distribution</t>
  </si>
  <si>
    <t>Embedded in larger platform; dominant distribution; competitors must build from scratch.</t>
  </si>
  <si>
    <t>TOTAL / 24</t>
  </si>
  <si>
    <t>Category</t>
  </si>
  <si>
    <t>Valuation multiplier modifier</t>
  </si>
  <si>
    <t>Applied to baseline revenue multiple in valuation model. Wrapper = 0.6x; Incomplete = 0.85x; Strong = 1.10x; Rare = 1.35x.</t>
  </si>
  <si>
    <t>AI-vs-Agent Comparison — Same Tenant Base, Three Models</t>
  </si>
  <si>
    <t>Yellow cells are illustrative baselines. Agent column references this workbook live.</t>
  </si>
  <si>
    <t>Line</t>
  </si>
  <si>
    <t>Classic SaaS</t>
  </si>
  <si>
    <t>AI overlay</t>
  </si>
  <si>
    <t>Agent</t>
  </si>
  <si>
    <t>Why it's different</t>
  </si>
  <si>
    <t>ARPA $/mo</t>
  </si>
  <si>
    <t>Agent: subscription + per-resolution can multiply ARPA 5-10x for power tenants.</t>
  </si>
  <si>
    <t>Gross margin %</t>
  </si>
  <si>
    <t>Agent GM is compressed by tokens + HITL; well-tuned 65-75%.</t>
  </si>
  <si>
    <t>Monthly logo churn %</t>
  </si>
  <si>
    <t>Agent churn lower due to integration depth + switching cost.</t>
  </si>
  <si>
    <t>Monthly expansion %</t>
  </si>
  <si>
    <t>Agent expansion mechanic is per-resolution growth × autonomy progression.</t>
  </si>
  <si>
    <t>CAC $</t>
  </si>
  <si>
    <t>Agent CAC higher (longer sales cycle, more proof needed).</t>
  </si>
  <si>
    <t>LTV (GM-adjusted) $</t>
  </si>
  <si>
    <t>Three-way LTV comparison on identical formula.</t>
  </si>
  <si>
    <t>LTV:CAC</t>
  </si>
  <si>
    <t>Headline efficiency — agent should beat SaaS if moat real.</t>
  </si>
  <si>
    <t>CAC payback (months)</t>
  </si>
  <si>
    <t>Higher payback acceptable if LTV:CAC strong.</t>
  </si>
  <si>
    <t>Cost-per-customer-action ($)</t>
  </si>
  <si>
    <t>Classic SaaS: storage/compute. AI: per-prompt. Agent: per-resolved-task — the headline.</t>
  </si>
  <si>
    <t>HITL or human-overhead share %</t>
  </si>
  <si>
    <t>Agent surfaces HITL as explicit cost line; SaaS hides it in CS overhead.</t>
  </si>
  <si>
    <t>Defensibility moat type</t>
  </si>
  <si>
    <t>Network effects / data</t>
  </si>
  <si>
    <t>Embedded AI features</t>
  </si>
  <si>
    <t>Action-data + integration + regulatory</t>
  </si>
  <si>
    <t>Agent moat must include action-data flywheel + integration depth, not just AI features.</t>
  </si>
  <si>
    <t>Dashboard — Agent Unit Economics</t>
  </si>
  <si>
    <t>Agent GM %</t>
  </si>
  <si>
    <t>Rule of 40</t>
  </si>
  <si>
    <t>Magic Number</t>
  </si>
  <si>
    <t>Runway (months)</t>
  </si>
  <si>
    <t>Wrapper-Moat Score / 24</t>
  </si>
  <si>
    <t>Valuation modifier (×)</t>
  </si>
  <si>
    <t>HITL ratio trend (Δ supervised→agentic)</t>
  </si>
  <si>
    <t>Cost per resolved (blended)</t>
  </si>
  <si>
    <t>Agent ACV ($)</t>
  </si>
  <si>
    <t>Annual revenue UGX (per tenant proxy)</t>
  </si>
  <si>
    <t>Stress-Test — Full Unit Economics Impact</t>
  </si>
  <si>
    <t>Scenario</t>
  </si>
  <si>
    <t>Cost/resolved $</t>
  </si>
  <si>
    <t>Mitigation / time-to-mitigate</t>
  </si>
  <si>
    <t>Baseline</t>
  </si>
  <si>
    <t>Reference.</t>
  </si>
  <si>
    <t>Provider 5× price hike</t>
  </si>
  <si>
    <t>Reprice + provider switch + router downshift. 2-4 weeks.</t>
  </si>
  <si>
    <t>Intervention rate doubles</t>
  </si>
  <si>
    <t>Retrain triage; tighten thresholds; eval round. 4-8 weeks.</t>
  </si>
  <si>
    <t>Foundation model deprecation (2× cost)</t>
  </si>
  <si>
    <t>Reserve drawdown; planned migration; bench OSS. 6-12 weeks.</t>
  </si>
  <si>
    <t>Tool-vendor outage (3× tool cost during outage)</t>
  </si>
  <si>
    <t>Multi-vendor failover; SLA credits. 1-3 weeks.</t>
  </si>
  <si>
    <t>Abandonment 50%→25% (POSITIVE)</t>
  </si>
  <si>
    <t>Upside case — better triage + eval. 8-12 weeks.</t>
  </si>
  <si>
    <t>Combined: provider 2× + interv 2× + aband +10pp</t>
  </si>
  <si>
    <t>Multi-front: reprice + retrain + provider switch + reserves. 8-16 weeks.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</si>
  <si>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</si>
  <si>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</si>
  <si>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</si>
  <si>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</si>
  <si>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</si>
  <si>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</si>
  <si>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</si>
  <si>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</si>
  <si>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</si>
  <si>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</si>
  <si>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</si>
  <si>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</si>
  <si>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</si>
  <si>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</si>
  <si>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</si>
  <si>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</si>
  <si>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</si>
  <si>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</si>
  <si>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</si>
  <si>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</si>
  <si>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</si>
  <si>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</si>
  <si>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</si>
  <si>
    <t>Agent NRR Lever — Autonomy Progression in Local Context</t>
  </si>
  <si>
    <t>Per-resolution growth (M0→M24 in Cohort sheet) is the headline NRR mechanic. In African verticals, autonomy progression is gated by: (a) regulator audit-log acceptance, (b) customer trust in agent decisions over a 3-6 month proving period, (c) integration depth with local cores (M-Pesa, MoMo, KCB/Equity/Stanbic core banking).</t>
  </si>
  <si>
    <t>USD Per-Resolution Pricing for Enterprise</t>
  </si>
  <si>
    <t>Enterprise per-resolution pricing in USD-equivalent (invoiced via local entity or offshore SPV) is the single most effective FX hedge. 60-80% of agent ARR should sit in USD by Year 3.</t>
  </si>
  <si>
    <t>HITL Cost Floor Asymmetry</t>
  </si>
  <si>
    <t>Loaded HITL cost in Uganda/Kenya/Nigeria/Rwanda is USD 0.07-0.13/min vs USD 0.50-1.00 in US. Agents in Africa beat a much lower human cost floor — but HITL fallback is also cheaper to run. Model both directions; the cost calculator's HITL $/min cell drives this.</t>
  </si>
  <si>
    <t>Sovereign-AI Procurement</t>
  </si>
  <si>
    <t>KE Talanta / RW innovation / NG NITDA / ZA Presidential 4IR / EG infra programmes may require local hosting that raises per-task cost 30-80%. Reflect in cost-per-resolved input.</t>
  </si>
  <si>
    <t>Agent Wrapper Score in African Markets</t>
  </si>
  <si>
    <t>Wrapper score Q5/Q6 (Trust, Regulatory) score relatively HIGHER for African agents — regulator engagement (KE ODPC, UG NITA-U, NG NDPC, ZA Info Reg) provides genuine competitive moat. Score honestly: regulator-engagement-without-acceptance = 1, regulator-acceptance = 2-3.</t>
  </si>
</sst>
</file>

<file path=xl/styles.xml><?xml version="1.0" encoding="utf-8"?>
<styleSheet xmlns="http://schemas.openxmlformats.org/spreadsheetml/2006/main">
  <numFmts count="5">
    <numFmt numFmtId="164" formatCode="$#,##0.00"/>
    <numFmt numFmtId="165" formatCode="#,##0"/>
    <numFmt numFmtId="166" formatCode="0.0%"/>
    <numFmt numFmtId="167" formatCode="$#,##0"/>
    <numFmt numFmtId="168" formatCode="#,##0.0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64" fontId="0" fillId="5" borderId="3" xfId="0" applyNumberFormat="1" applyFill="1" applyBorder="1" applyProtection="1">
      <protection locked="0"/>
    </xf>
    <xf numFmtId="165" fontId="0" fillId="5" borderId="3" xfId="0" applyNumberFormat="1" applyFill="1" applyBorder="1" applyProtection="1">
      <protection locked="0"/>
    </xf>
    <xf numFmtId="166" fontId="0" fillId="5" borderId="3" xfId="0" applyNumberFormat="1" applyFill="1" applyBorder="1" applyProtection="1">
      <protection locked="0"/>
    </xf>
    <xf numFmtId="164" fontId="0" fillId="6" borderId="3" xfId="0" applyNumberFormat="1" applyFill="1" applyBorder="1"/>
    <xf numFmtId="167" fontId="0" fillId="6" borderId="3" xfId="0" applyNumberFormat="1" applyFill="1" applyBorder="1"/>
    <xf numFmtId="167" fontId="2" fillId="7" borderId="2" xfId="0" applyNumberFormat="1" applyFont="1" applyFill="1" applyBorder="1"/>
    <xf numFmtId="166" fontId="2" fillId="7" borderId="2" xfId="0" applyNumberFormat="1" applyFont="1" applyFill="1" applyBorder="1"/>
    <xf numFmtId="168" fontId="0" fillId="5" borderId="3" xfId="0" applyNumberFormat="1" applyFill="1" applyBorder="1" applyProtection="1">
      <protection locked="0"/>
    </xf>
    <xf numFmtId="167" fontId="0" fillId="5" borderId="3" xfId="0" applyNumberFormat="1" applyFill="1" applyBorder="1" applyProtection="1">
      <protection locked="0"/>
    </xf>
    <xf numFmtId="0" fontId="6" fillId="4" borderId="2" xfId="0" applyFont="1" applyFill="1" applyBorder="1" applyAlignment="1">
      <alignment horizontal="center" vertical="center" wrapText="1"/>
    </xf>
    <xf numFmtId="166" fontId="0" fillId="6" borderId="3" xfId="0" applyNumberFormat="1" applyFill="1" applyBorder="1"/>
    <xf numFmtId="165" fontId="0" fillId="6" borderId="3" xfId="0" applyNumberFormat="1" applyFill="1" applyBorder="1"/>
    <xf numFmtId="168" fontId="0" fillId="6" borderId="3" xfId="0" applyNumberFormat="1" applyFill="1" applyBorder="1"/>
    <xf numFmtId="165" fontId="2" fillId="7" borderId="2" xfId="0" applyNumberFormat="1" applyFont="1" applyFill="1" applyBorder="1"/>
    <xf numFmtId="0" fontId="0" fillId="5" borderId="3" xfId="0" applyFill="1" applyBorder="1" applyProtection="1">
      <protection locked="0"/>
    </xf>
    <xf numFmtId="0" fontId="6" fillId="2" borderId="2" xfId="0" applyFont="1" applyFill="1" applyBorder="1" applyAlignment="1">
      <alignment horizontal="left" vertical="center"/>
    </xf>
    <xf numFmtId="168" fontId="7" fillId="6" borderId="2" xfId="0" applyNumberFormat="1" applyFont="1" applyFill="1" applyBorder="1" applyAlignment="1">
      <alignment horizontal="center"/>
    </xf>
    <xf numFmtId="166" fontId="7" fillId="6" borderId="2" xfId="0" applyNumberFormat="1" applyFont="1" applyFill="1" applyBorder="1" applyAlignment="1">
      <alignment horizontal="center"/>
    </xf>
    <xf numFmtId="167" fontId="7" fillId="6" borderId="2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numFmt numFmtId="169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9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9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Cohort Retention — Logo vs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Logo retention</c:v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'Cohort'!$B$4:$Z$4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'Cohort'!$B$7:$Z$7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v>Revenue retention</c:v>
          </c:tx>
          <c:spPr>
            <a:ln w="31750">
              <a:solidFill>
                <a:srgbClr val="C65911"/>
              </a:solidFill>
            </a:ln>
          </c:spPr>
          <c:marker>
            <c:symbol val="none"/>
          </c:marker>
          <c:cat>
            <c:strRef>
              <c:f>'Cohort'!$B$4:$Z$4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'Cohort'!$B$10:$Z$10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retained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HITL Intervention Trend — Supervised→Agentic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HITL intervention rate</c:v>
          </c:tx>
          <c:spPr>
            <a:ln w="31750">
              <a:solidFill>
                <a:srgbClr val="2E75B6"/>
              </a:solidFill>
            </a:ln>
          </c:spPr>
          <c:marker>
            <c:symbol val="none"/>
          </c:marker>
          <c:cat>
            <c:strRef>
              <c:f>'Cohort'!$B$4:$Z$4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'Cohort'!$B$16:$Z$16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GM per Tenant — 24-Month Trajectory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GM per tenant per month</c:v>
          </c:tx>
          <c:spPr>
            <a:solidFill>
              <a:srgbClr val="7CB342"/>
            </a:solidFill>
          </c:spPr>
          <c:cat>
            <c:strRef>
              <c:f>'Cohort'!$B$4:$Z$4</c:f>
              <c:strCache>
                <c:ptCount val="25"/>
                <c:pt idx="0">
                  <c:v>M0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</c:strCache>
            </c:strRef>
          </c:cat>
          <c:val>
            <c:numRef>
              <c:f>'Cohort'!$B$25:$Z$25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38100</xdr:colOff>
      <xdr:row>11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11</xdr:col>
      <xdr:colOff>38100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11</xdr:col>
      <xdr:colOff>38100</xdr:colOff>
      <xdr:row>54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3" spans="1:2">
      <c r="A13" s="2" t="s">
        <v>18</v>
      </c>
      <c r="B13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8" spans="1:2">
      <c r="A18" s="2" t="s">
        <v>26</v>
      </c>
      <c r="B18" s="3" t="s">
        <v>27</v>
      </c>
    </row>
    <row r="20" spans="1:2">
      <c r="A20" s="2" t="s">
        <v>28</v>
      </c>
      <c r="B20" s="3" t="s">
        <v>29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50.7109375" customWidth="1"/>
    <col min="2" max="3" width="16.7109375" customWidth="1"/>
    <col min="4" max="4" width="60.7109375" customWidth="1"/>
  </cols>
  <sheetData>
    <row r="1" spans="1:4" ht="28" customHeight="1">
      <c r="A1" s="1" t="s">
        <v>30</v>
      </c>
      <c r="B1" s="1"/>
      <c r="C1" s="1"/>
      <c r="D1" s="1"/>
    </row>
    <row r="2" spans="1:4">
      <c r="A2" s="5" t="s">
        <v>31</v>
      </c>
    </row>
    <row r="4" spans="1:4">
      <c r="A4" s="4" t="s">
        <v>32</v>
      </c>
      <c r="B4" s="4"/>
      <c r="C4" s="4"/>
      <c r="D4" s="4"/>
    </row>
    <row r="5" spans="1:4">
      <c r="A5" s="2" t="s">
        <v>33</v>
      </c>
      <c r="B5" s="6">
        <v>0</v>
      </c>
      <c r="D5" s="3" t="s">
        <v>34</v>
      </c>
    </row>
    <row r="6" spans="1:4">
      <c r="A6" s="2" t="s">
        <v>35</v>
      </c>
      <c r="B6" s="6">
        <v>149</v>
      </c>
      <c r="D6" s="3" t="s">
        <v>36</v>
      </c>
    </row>
    <row r="7" spans="1:4">
      <c r="A7" s="2" t="s">
        <v>37</v>
      </c>
      <c r="B7" s="6">
        <v>1500</v>
      </c>
      <c r="D7" s="3" t="s">
        <v>38</v>
      </c>
    </row>
    <row r="8" spans="1:4">
      <c r="A8" s="2" t="s">
        <v>39</v>
      </c>
      <c r="B8" s="6">
        <v>0.5</v>
      </c>
      <c r="D8" s="3" t="s">
        <v>40</v>
      </c>
    </row>
    <row r="9" spans="1:4">
      <c r="A9" s="2" t="s">
        <v>41</v>
      </c>
      <c r="B9" s="7">
        <v>20</v>
      </c>
      <c r="D9" s="3" t="s">
        <v>42</v>
      </c>
    </row>
    <row r="10" spans="1:4">
      <c r="A10" s="2" t="s">
        <v>43</v>
      </c>
      <c r="B10" s="7">
        <v>200</v>
      </c>
      <c r="D10" s="3" t="s">
        <v>44</v>
      </c>
    </row>
    <row r="11" spans="1:4">
      <c r="A11" s="2" t="s">
        <v>45</v>
      </c>
      <c r="B11" s="7">
        <v>400</v>
      </c>
      <c r="D11" s="3" t="s">
        <v>46</v>
      </c>
    </row>
    <row r="12" spans="1:4">
      <c r="A12" s="2" t="s">
        <v>47</v>
      </c>
      <c r="B12" s="8">
        <v>0.3</v>
      </c>
      <c r="D12" s="3"/>
    </row>
    <row r="13" spans="1:4">
      <c r="A13" s="2" t="s">
        <v>48</v>
      </c>
      <c r="B13" s="8">
        <v>0.55</v>
      </c>
      <c r="D13" s="3"/>
    </row>
    <row r="14" spans="1:4">
      <c r="A14" s="2" t="s">
        <v>49</v>
      </c>
      <c r="B14" s="8">
        <v>0.15</v>
      </c>
      <c r="D14" s="3"/>
    </row>
    <row r="15" spans="1:4">
      <c r="A15" s="2" t="s">
        <v>50</v>
      </c>
      <c r="B15" s="9">
        <f>B5*B12+B6*B13+B7*B14</f>
        <v>0</v>
      </c>
      <c r="D15" s="3" t="s">
        <v>51</v>
      </c>
    </row>
    <row r="16" spans="1:4">
      <c r="A16" s="2" t="s">
        <v>52</v>
      </c>
      <c r="B16" s="10">
        <f>B15*12</f>
        <v>0</v>
      </c>
    </row>
    <row r="17" spans="1:4">
      <c r="A17" s="2" t="s">
        <v>53</v>
      </c>
      <c r="B17" s="9">
        <f>B10*B8</f>
        <v>0</v>
      </c>
    </row>
    <row r="18" spans="1:4">
      <c r="A18" s="2" t="s">
        <v>54</v>
      </c>
      <c r="B18" s="11">
        <f>B15+B17</f>
        <v>0</v>
      </c>
    </row>
    <row r="20" spans="1:4">
      <c r="A20" s="4" t="s">
        <v>55</v>
      </c>
      <c r="B20" s="4"/>
      <c r="C20" s="4"/>
      <c r="D20" s="4"/>
    </row>
    <row r="21" spans="1:4">
      <c r="A21" s="2" t="s">
        <v>56</v>
      </c>
      <c r="B21" s="6">
        <v>0.2</v>
      </c>
      <c r="D21" s="3" t="s">
        <v>57</v>
      </c>
    </row>
    <row r="22" spans="1:4">
      <c r="A22" s="2" t="s">
        <v>58</v>
      </c>
      <c r="B22" s="6">
        <v>0.1</v>
      </c>
      <c r="D22" s="3"/>
    </row>
    <row r="23" spans="1:4">
      <c r="A23" s="2" t="s">
        <v>59</v>
      </c>
      <c r="B23" s="6">
        <v>0.05</v>
      </c>
      <c r="D23" s="3"/>
    </row>
    <row r="24" spans="1:4">
      <c r="A24" s="2" t="s">
        <v>60</v>
      </c>
      <c r="B24" s="8">
        <v>0.18</v>
      </c>
      <c r="D24" s="3" t="s">
        <v>61</v>
      </c>
    </row>
    <row r="25" spans="1:4">
      <c r="A25" s="2" t="s">
        <v>62</v>
      </c>
      <c r="B25" s="8">
        <v>0.15</v>
      </c>
      <c r="D25" s="3"/>
    </row>
    <row r="26" spans="1:4">
      <c r="A26" s="2" t="s">
        <v>63</v>
      </c>
      <c r="B26" s="8">
        <v>0.65</v>
      </c>
      <c r="D26" s="3" t="s">
        <v>64</v>
      </c>
    </row>
    <row r="27" spans="1:4">
      <c r="A27" s="2" t="s">
        <v>65</v>
      </c>
      <c r="B27" s="9">
        <f>B23*B12+B22*B13+B21*B14</f>
        <v>0</v>
      </c>
    </row>
    <row r="28" spans="1:4">
      <c r="A28" s="2" t="s">
        <v>66</v>
      </c>
      <c r="B28" s="12">
        <f>IF(B18&gt;0, (B18-B27*B10-B15*B25)/B18, -1)</f>
        <v>0</v>
      </c>
    </row>
    <row r="30" spans="1:4">
      <c r="A30" s="4" t="s">
        <v>67</v>
      </c>
      <c r="B30" s="4"/>
      <c r="C30" s="4"/>
      <c r="D30" s="4"/>
    </row>
    <row r="31" spans="1:4">
      <c r="A31" s="2" t="s">
        <v>68</v>
      </c>
      <c r="B31" s="8">
        <v>0.02</v>
      </c>
      <c r="D31" s="3" t="s">
        <v>69</v>
      </c>
    </row>
    <row r="32" spans="1:4">
      <c r="A32" s="2" t="s">
        <v>70</v>
      </c>
      <c r="B32" s="8">
        <v>0.015</v>
      </c>
      <c r="D32" s="3"/>
    </row>
    <row r="33" spans="1:4">
      <c r="A33" s="2" t="s">
        <v>71</v>
      </c>
      <c r="B33" s="13">
        <v>0.85</v>
      </c>
      <c r="D33" s="3" t="s">
        <v>72</v>
      </c>
    </row>
    <row r="34" spans="1:4">
      <c r="A34" s="2" t="s">
        <v>73</v>
      </c>
      <c r="B34" s="8">
        <v>0.035</v>
      </c>
      <c r="D34" s="3" t="s">
        <v>74</v>
      </c>
    </row>
    <row r="35" spans="1:4">
      <c r="A35" s="2" t="s">
        <v>75</v>
      </c>
      <c r="B35" s="8">
        <v>0.005</v>
      </c>
      <c r="D35" s="3"/>
    </row>
    <row r="36" spans="1:4">
      <c r="A36" s="2" t="s">
        <v>76</v>
      </c>
      <c r="B36" s="8">
        <v>0.005</v>
      </c>
      <c r="D36" s="3"/>
    </row>
    <row r="37" spans="1:4">
      <c r="A37" s="2" t="s">
        <v>77</v>
      </c>
      <c r="B37" s="8">
        <v>0.01</v>
      </c>
      <c r="D37" s="3" t="s">
        <v>78</v>
      </c>
    </row>
    <row r="39" spans="1:4">
      <c r="A39" s="4" t="s">
        <v>79</v>
      </c>
      <c r="B39" s="4"/>
      <c r="C39" s="4"/>
      <c r="D39" s="4"/>
    </row>
    <row r="40" spans="1:4">
      <c r="A40" s="2" t="s">
        <v>80</v>
      </c>
      <c r="B40" s="14">
        <v>250</v>
      </c>
    </row>
    <row r="41" spans="1:4">
      <c r="A41" s="2" t="s">
        <v>81</v>
      </c>
      <c r="B41" s="14">
        <v>800</v>
      </c>
    </row>
    <row r="42" spans="1:4">
      <c r="A42" s="2" t="s">
        <v>82</v>
      </c>
      <c r="B42" s="14">
        <v>4500</v>
      </c>
    </row>
    <row r="43" spans="1:4">
      <c r="A43" s="2" t="s">
        <v>83</v>
      </c>
      <c r="B43" s="14">
        <v>900</v>
      </c>
    </row>
    <row r="44" spans="1:4">
      <c r="A44" s="2" t="s">
        <v>84</v>
      </c>
      <c r="B44" s="8">
        <v>0.3</v>
      </c>
    </row>
    <row r="45" spans="1:4">
      <c r="A45" s="2" t="s">
        <v>85</v>
      </c>
      <c r="B45" s="8">
        <v>0.3</v>
      </c>
    </row>
    <row r="46" spans="1:4">
      <c r="A46" s="2" t="s">
        <v>86</v>
      </c>
      <c r="B46" s="8">
        <v>0.3</v>
      </c>
    </row>
    <row r="47" spans="1:4">
      <c r="A47" s="2" t="s">
        <v>87</v>
      </c>
      <c r="B47" s="8">
        <v>0.1</v>
      </c>
    </row>
    <row r="48" spans="1:4">
      <c r="A48" s="2" t="s">
        <v>88</v>
      </c>
      <c r="B48" s="11">
        <f>B40*B44+B41*B45+B42*B46+B43*B47</f>
        <v>0</v>
      </c>
    </row>
    <row r="49" spans="1:4">
      <c r="A49" s="2" t="s">
        <v>89</v>
      </c>
      <c r="B49" s="7">
        <v>40</v>
      </c>
    </row>
    <row r="50" spans="1:4">
      <c r="A50" s="2" t="s">
        <v>90</v>
      </c>
      <c r="B50" s="14">
        <v>200000</v>
      </c>
    </row>
    <row r="51" spans="1:4">
      <c r="A51" s="2" t="s">
        <v>91</v>
      </c>
      <c r="B51" s="14">
        <v>180000</v>
      </c>
    </row>
    <row r="52" spans="1:4">
      <c r="A52" s="2" t="s">
        <v>92</v>
      </c>
      <c r="B52" s="14">
        <v>320000</v>
      </c>
    </row>
    <row r="53" spans="1:4">
      <c r="A53" s="2" t="s">
        <v>93</v>
      </c>
      <c r="B53" s="14">
        <v>220000</v>
      </c>
    </row>
    <row r="54" spans="1:4">
      <c r="A54" s="2" t="s">
        <v>94</v>
      </c>
      <c r="B54" s="8">
        <v>1.5</v>
      </c>
    </row>
    <row r="55" spans="1:4">
      <c r="A55" s="2" t="s">
        <v>95</v>
      </c>
      <c r="B55" s="8">
        <v>-0.3</v>
      </c>
    </row>
    <row r="56" spans="1:4">
      <c r="A56" s="2" t="s">
        <v>96</v>
      </c>
      <c r="B56" s="14">
        <v>1500000</v>
      </c>
    </row>
    <row r="58" spans="1:4">
      <c r="A58" s="4" t="s">
        <v>97</v>
      </c>
      <c r="B58" s="4"/>
      <c r="C58" s="4"/>
      <c r="D58" s="4"/>
    </row>
    <row r="59" spans="1:4">
      <c r="A59" s="2" t="s">
        <v>98</v>
      </c>
      <c r="B59" s="8">
        <v>0.4</v>
      </c>
      <c r="D59" s="3" t="s">
        <v>99</v>
      </c>
    </row>
    <row r="60" spans="1:4">
      <c r="A60" s="2" t="s">
        <v>100</v>
      </c>
      <c r="B60" s="8">
        <v>0.1</v>
      </c>
      <c r="D60" s="3" t="s">
        <v>101</v>
      </c>
    </row>
    <row r="61" spans="1:4">
      <c r="A61" s="2" t="s">
        <v>102</v>
      </c>
      <c r="B61" s="7">
        <v>5</v>
      </c>
    </row>
    <row r="62" spans="1:4">
      <c r="A62" s="2" t="s">
        <v>103</v>
      </c>
      <c r="B62" s="6">
        <v>0.3</v>
      </c>
    </row>
    <row r="63" spans="1:4">
      <c r="A63" s="2" t="s">
        <v>104</v>
      </c>
      <c r="B63" s="8">
        <v>0.65</v>
      </c>
    </row>
    <row r="64" spans="1:4">
      <c r="A64" s="2" t="s">
        <v>105</v>
      </c>
      <c r="B64" s="8">
        <v>0.85</v>
      </c>
    </row>
    <row r="66" spans="1:4">
      <c r="A66" s="4" t="s">
        <v>106</v>
      </c>
      <c r="B66" s="4"/>
      <c r="C66" s="4"/>
      <c r="D66" s="4"/>
    </row>
    <row r="67" spans="1:4">
      <c r="A67" s="2" t="s">
        <v>107</v>
      </c>
      <c r="B67" s="13">
        <v>3</v>
      </c>
    </row>
    <row r="68" spans="1:4">
      <c r="A68" s="2" t="s">
        <v>108</v>
      </c>
      <c r="B68" s="7">
        <v>18</v>
      </c>
    </row>
    <row r="69" spans="1:4">
      <c r="A69" s="2" t="s">
        <v>109</v>
      </c>
      <c r="B69" s="8">
        <v>0.3</v>
      </c>
    </row>
    <row r="70" spans="1:4">
      <c r="A70" s="2" t="s">
        <v>110</v>
      </c>
      <c r="B70" s="8">
        <v>1.2</v>
      </c>
    </row>
    <row r="71" spans="1:4">
      <c r="A71" s="2" t="s">
        <v>111</v>
      </c>
      <c r="B71" s="8">
        <v>0.65</v>
      </c>
    </row>
    <row r="72" spans="1:4">
      <c r="A72" s="2" t="s">
        <v>112</v>
      </c>
      <c r="B72" s="7">
        <v>15</v>
      </c>
    </row>
    <row r="73" spans="1:4">
      <c r="A73" s="2" t="s">
        <v>113</v>
      </c>
      <c r="B73" s="13">
        <v>3800</v>
      </c>
    </row>
  </sheetData>
  <mergeCells count="7">
    <mergeCell ref="A1:D1"/>
    <mergeCell ref="A4:D4"/>
    <mergeCell ref="A20:D20"/>
    <mergeCell ref="A30:D30"/>
    <mergeCell ref="A39:D39"/>
    <mergeCell ref="A58:D58"/>
    <mergeCell ref="A66:D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FormatPr defaultRowHeight="15"/>
  <cols>
    <col min="1" max="1" width="24.7109375" customWidth="1"/>
    <col min="2" max="26" width="9.7109375" customWidth="1"/>
  </cols>
  <sheetData>
    <row r="1" spans="1:26" ht="28" customHeight="1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5" t="s">
        <v>115</v>
      </c>
    </row>
    <row r="4" spans="1:26">
      <c r="A4" s="15" t="s">
        <v>116</v>
      </c>
      <c r="B4" s="15" t="s">
        <v>117</v>
      </c>
      <c r="C4" s="15" t="s">
        <v>118</v>
      </c>
      <c r="D4" s="15" t="s">
        <v>119</v>
      </c>
      <c r="E4" s="15" t="s">
        <v>120</v>
      </c>
      <c r="F4" s="15" t="s">
        <v>121</v>
      </c>
      <c r="G4" s="15" t="s">
        <v>122</v>
      </c>
      <c r="H4" s="15" t="s">
        <v>123</v>
      </c>
      <c r="I4" s="15" t="s">
        <v>124</v>
      </c>
      <c r="J4" s="15" t="s">
        <v>125</v>
      </c>
      <c r="K4" s="15" t="s">
        <v>126</v>
      </c>
      <c r="L4" s="15" t="s">
        <v>127</v>
      </c>
      <c r="M4" s="15" t="s">
        <v>128</v>
      </c>
      <c r="N4" s="15" t="s">
        <v>129</v>
      </c>
      <c r="O4" s="15" t="s">
        <v>130</v>
      </c>
      <c r="P4" s="15" t="s">
        <v>131</v>
      </c>
      <c r="Q4" s="15" t="s">
        <v>132</v>
      </c>
      <c r="R4" s="15" t="s">
        <v>133</v>
      </c>
      <c r="S4" s="15" t="s">
        <v>134</v>
      </c>
      <c r="T4" s="15" t="s">
        <v>135</v>
      </c>
      <c r="U4" s="15" t="s">
        <v>136</v>
      </c>
      <c r="V4" s="15" t="s">
        <v>137</v>
      </c>
      <c r="W4" s="15" t="s">
        <v>138</v>
      </c>
      <c r="X4" s="15" t="s">
        <v>139</v>
      </c>
      <c r="Y4" s="15" t="s">
        <v>140</v>
      </c>
      <c r="Z4" s="15" t="s">
        <v>141</v>
      </c>
    </row>
    <row r="6" spans="1:26">
      <c r="A6" s="4" t="s">
        <v>142</v>
      </c>
    </row>
    <row r="7" spans="1:26">
      <c r="A7" s="2" t="s">
        <v>143</v>
      </c>
      <c r="B7" s="16">
        <f>(1-AG_LogoChurn)^0</f>
        <v>0</v>
      </c>
      <c r="C7" s="16">
        <f>(1-AG_LogoChurn)^1</f>
        <v>0</v>
      </c>
      <c r="D7" s="16">
        <f>(1-AG_LogoChurn)^2</f>
        <v>0</v>
      </c>
      <c r="E7" s="16">
        <f>(1-AG_LogoChurn)^3</f>
        <v>0</v>
      </c>
      <c r="F7" s="16">
        <f>(1-AG_LogoChurn)^4</f>
        <v>0</v>
      </c>
      <c r="G7" s="16">
        <f>(1-AG_LogoChurn)^5</f>
        <v>0</v>
      </c>
      <c r="H7" s="16">
        <f>(1-AG_LogoChurn)^6</f>
        <v>0</v>
      </c>
      <c r="I7" s="16">
        <f>(1-AG_LogoChurn)^7</f>
        <v>0</v>
      </c>
      <c r="J7" s="16">
        <f>(1-AG_LogoChurn)^8</f>
        <v>0</v>
      </c>
      <c r="K7" s="16">
        <f>(1-AG_LogoChurn)^9</f>
        <v>0</v>
      </c>
      <c r="L7" s="16">
        <f>(1-AG_LogoChurn)^10</f>
        <v>0</v>
      </c>
      <c r="M7" s="16">
        <f>(1-AG_LogoChurn)^11</f>
        <v>0</v>
      </c>
      <c r="N7" s="16">
        <f>(1-AG_LogoChurn)^12</f>
        <v>0</v>
      </c>
      <c r="O7" s="16">
        <f>(1-AG_LogoChurn)^13</f>
        <v>0</v>
      </c>
      <c r="P7" s="16">
        <f>(1-AG_LogoChurn)^14</f>
        <v>0</v>
      </c>
      <c r="Q7" s="16">
        <f>(1-AG_LogoChurn)^15</f>
        <v>0</v>
      </c>
      <c r="R7" s="16">
        <f>(1-AG_LogoChurn)^16</f>
        <v>0</v>
      </c>
      <c r="S7" s="16">
        <f>(1-AG_LogoChurn)^17</f>
        <v>0</v>
      </c>
      <c r="T7" s="16">
        <f>(1-AG_LogoChurn)^18</f>
        <v>0</v>
      </c>
      <c r="U7" s="16">
        <f>(1-AG_LogoChurn)^19</f>
        <v>0</v>
      </c>
      <c r="V7" s="16">
        <f>(1-AG_LogoChurn)^20</f>
        <v>0</v>
      </c>
      <c r="W7" s="16">
        <f>(1-AG_LogoChurn)^21</f>
        <v>0</v>
      </c>
      <c r="X7" s="16">
        <f>(1-AG_LogoChurn)^22</f>
        <v>0</v>
      </c>
      <c r="Y7" s="16">
        <f>(1-AG_LogoChurn)^23</f>
        <v>0</v>
      </c>
      <c r="Z7" s="16">
        <f>(1-AG_LogoChurn)^24</f>
        <v>0</v>
      </c>
    </row>
    <row r="9" spans="1:26">
      <c r="A9" s="4" t="s">
        <v>144</v>
      </c>
    </row>
    <row r="10" spans="1:26">
      <c r="A10" s="2" t="s">
        <v>143</v>
      </c>
      <c r="B10" s="16">
        <f>(1+AG_Exp-AG_RevChurn-AG_Contr)^0</f>
        <v>0</v>
      </c>
      <c r="C10" s="16">
        <f>(1+AG_Exp-AG_RevChurn-AG_Contr)^1</f>
        <v>0</v>
      </c>
      <c r="D10" s="16">
        <f>(1+AG_Exp-AG_RevChurn-AG_Contr)^2</f>
        <v>0</v>
      </c>
      <c r="E10" s="16">
        <f>(1+AG_Exp-AG_RevChurn-AG_Contr)^3</f>
        <v>0</v>
      </c>
      <c r="F10" s="16">
        <f>(1+AG_Exp-AG_RevChurn-AG_Contr)^4</f>
        <v>0</v>
      </c>
      <c r="G10" s="16">
        <f>(1+AG_Exp-AG_RevChurn-AG_Contr)^5</f>
        <v>0</v>
      </c>
      <c r="H10" s="16">
        <f>(1+AG_Exp-AG_RevChurn-AG_Contr)^6</f>
        <v>0</v>
      </c>
      <c r="I10" s="16">
        <f>(1+AG_Exp-AG_RevChurn-AG_Contr)^7</f>
        <v>0</v>
      </c>
      <c r="J10" s="16">
        <f>(1+AG_Exp-AG_RevChurn-AG_Contr)^8</f>
        <v>0</v>
      </c>
      <c r="K10" s="16">
        <f>(1+AG_Exp-AG_RevChurn-AG_Contr)^9</f>
        <v>0</v>
      </c>
      <c r="L10" s="16">
        <f>(1+AG_Exp-AG_RevChurn-AG_Contr)^10</f>
        <v>0</v>
      </c>
      <c r="M10" s="16">
        <f>(1+AG_Exp-AG_RevChurn-AG_Contr)^11</f>
        <v>0</v>
      </c>
      <c r="N10" s="16">
        <f>(1+AG_Exp-AG_RevChurn-AG_Contr)^12</f>
        <v>0</v>
      </c>
      <c r="O10" s="16">
        <f>(1+AG_Exp-AG_RevChurn-AG_Contr)^13</f>
        <v>0</v>
      </c>
      <c r="P10" s="16">
        <f>(1+AG_Exp-AG_RevChurn-AG_Contr)^14</f>
        <v>0</v>
      </c>
      <c r="Q10" s="16">
        <f>(1+AG_Exp-AG_RevChurn-AG_Contr)^15</f>
        <v>0</v>
      </c>
      <c r="R10" s="16">
        <f>(1+AG_Exp-AG_RevChurn-AG_Contr)^16</f>
        <v>0</v>
      </c>
      <c r="S10" s="16">
        <f>(1+AG_Exp-AG_RevChurn-AG_Contr)^17</f>
        <v>0</v>
      </c>
      <c r="T10" s="16">
        <f>(1+AG_Exp-AG_RevChurn-AG_Contr)^18</f>
        <v>0</v>
      </c>
      <c r="U10" s="16">
        <f>(1+AG_Exp-AG_RevChurn-AG_Contr)^19</f>
        <v>0</v>
      </c>
      <c r="V10" s="16">
        <f>(1+AG_Exp-AG_RevChurn-AG_Contr)^20</f>
        <v>0</v>
      </c>
      <c r="W10" s="16">
        <f>(1+AG_Exp-AG_RevChurn-AG_Contr)^21</f>
        <v>0</v>
      </c>
      <c r="X10" s="16">
        <f>(1+AG_Exp-AG_RevChurn-AG_Contr)^22</f>
        <v>0</v>
      </c>
      <c r="Y10" s="16">
        <f>(1+AG_Exp-AG_RevChurn-AG_Contr)^23</f>
        <v>0</v>
      </c>
      <c r="Z10" s="16">
        <f>(1+AG_Exp-AG_RevChurn-AG_Contr)^24</f>
        <v>0</v>
      </c>
    </row>
    <row r="12" spans="1:26">
      <c r="A12" s="4" t="s">
        <v>145</v>
      </c>
    </row>
    <row r="13" spans="1:26">
      <c r="A13" s="2" t="s">
        <v>146</v>
      </c>
      <c r="B13" s="17">
        <f>AG_M0_Res</f>
        <v>0</v>
      </c>
      <c r="C13" s="17">
        <f>AG_M0_Res</f>
        <v>0</v>
      </c>
      <c r="D13" s="17">
        <f>AG_M0_Res</f>
        <v>0</v>
      </c>
      <c r="E13" s="17">
        <f>AG_M0_Res+(AG_M12_Res-AG_M0_Res)*(3-2)/10</f>
        <v>0</v>
      </c>
      <c r="F13" s="17">
        <f>AG_M0_Res+(AG_M12_Res-AG_M0_Res)*(4-2)/10</f>
        <v>0</v>
      </c>
      <c r="G13" s="17">
        <f>AG_M0_Res+(AG_M12_Res-AG_M0_Res)*(5-2)/10</f>
        <v>0</v>
      </c>
      <c r="H13" s="17">
        <f>AG_M0_Res+(AG_M12_Res-AG_M0_Res)*(6-2)/10</f>
        <v>0</v>
      </c>
      <c r="I13" s="17">
        <f>AG_M0_Res+(AG_M12_Res-AG_M0_Res)*(7-2)/10</f>
        <v>0</v>
      </c>
      <c r="J13" s="17">
        <f>AG_M0_Res+(AG_M12_Res-AG_M0_Res)*(8-2)/10</f>
        <v>0</v>
      </c>
      <c r="K13" s="17">
        <f>AG_M0_Res+(AG_M12_Res-AG_M0_Res)*(9-2)/10</f>
        <v>0</v>
      </c>
      <c r="L13" s="17">
        <f>AG_M0_Res+(AG_M12_Res-AG_M0_Res)*(10-2)/10</f>
        <v>0</v>
      </c>
      <c r="M13" s="17">
        <f>AG_M0_Res+(AG_M12_Res-AG_M0_Res)*(11-2)/10</f>
        <v>0</v>
      </c>
      <c r="N13" s="17">
        <f>AG_M0_Res+(AG_M12_Res-AG_M0_Res)*(12-2)/10</f>
        <v>0</v>
      </c>
      <c r="O13" s="17">
        <f>AG_M12_Res+(AG_M24_Res-AG_M12_Res)*(13-12)/12</f>
        <v>0</v>
      </c>
      <c r="P13" s="17">
        <f>AG_M12_Res+(AG_M24_Res-AG_M12_Res)*(14-12)/12</f>
        <v>0</v>
      </c>
      <c r="Q13" s="17">
        <f>AG_M12_Res+(AG_M24_Res-AG_M12_Res)*(15-12)/12</f>
        <v>0</v>
      </c>
      <c r="R13" s="17">
        <f>AG_M12_Res+(AG_M24_Res-AG_M12_Res)*(16-12)/12</f>
        <v>0</v>
      </c>
      <c r="S13" s="17">
        <f>AG_M12_Res+(AG_M24_Res-AG_M12_Res)*(17-12)/12</f>
        <v>0</v>
      </c>
      <c r="T13" s="17">
        <f>AG_M12_Res+(AG_M24_Res-AG_M12_Res)*(18-12)/12</f>
        <v>0</v>
      </c>
      <c r="U13" s="17">
        <f>AG_M12_Res+(AG_M24_Res-AG_M12_Res)*(19-12)/12</f>
        <v>0</v>
      </c>
      <c r="V13" s="17">
        <f>AG_M12_Res+(AG_M24_Res-AG_M12_Res)*(20-12)/12</f>
        <v>0</v>
      </c>
      <c r="W13" s="17">
        <f>AG_M12_Res+(AG_M24_Res-AG_M12_Res)*(21-12)/12</f>
        <v>0</v>
      </c>
      <c r="X13" s="17">
        <f>AG_M12_Res+(AG_M24_Res-AG_M12_Res)*(22-12)/12</f>
        <v>0</v>
      </c>
      <c r="Y13" s="17">
        <f>AG_M12_Res+(AG_M24_Res-AG_M12_Res)*(23-12)/12</f>
        <v>0</v>
      </c>
      <c r="Z13" s="17">
        <f>AG_M12_Res+(AG_M24_Res-AG_M12_Res)*(24-12)/12</f>
        <v>0</v>
      </c>
    </row>
    <row r="15" spans="1:26">
      <c r="A15" s="4" t="s">
        <v>147</v>
      </c>
    </row>
    <row r="16" spans="1:26">
      <c r="A16" s="2" t="s">
        <v>148</v>
      </c>
      <c r="B16" s="16">
        <f>AG_SupInt</f>
        <v>0</v>
      </c>
      <c r="C16" s="16">
        <f>AG_SupInt</f>
        <v>0</v>
      </c>
      <c r="D16" s="16">
        <f>AG_SupInt</f>
        <v>0</v>
      </c>
      <c r="E16" s="16">
        <f>MAX(AG_AgInt, AG_SupInt-(AG_SupInt-AG_AgInt)*MIN(1,(3-2)/6))</f>
        <v>0</v>
      </c>
      <c r="F16" s="16">
        <f>MAX(AG_AgInt, AG_SupInt-(AG_SupInt-AG_AgInt)*MIN(1,(4-2)/6))</f>
        <v>0</v>
      </c>
      <c r="G16" s="16">
        <f>MAX(AG_AgInt, AG_SupInt-(AG_SupInt-AG_AgInt)*MIN(1,(5-2)/6))</f>
        <v>0</v>
      </c>
      <c r="H16" s="16">
        <f>MAX(AG_AgInt, AG_SupInt-(AG_SupInt-AG_AgInt)*MIN(1,(6-2)/6))</f>
        <v>0</v>
      </c>
      <c r="I16" s="16">
        <f>MAX(AG_AgInt, AG_SupInt-(AG_SupInt-AG_AgInt)*MIN(1,(7-2)/6))</f>
        <v>0</v>
      </c>
      <c r="J16" s="16">
        <f>MAX(AG_AgInt, AG_SupInt-(AG_SupInt-AG_AgInt)*MIN(1,(8-2)/6))</f>
        <v>0</v>
      </c>
      <c r="K16" s="16">
        <f>MAX(AG_AgInt, AG_SupInt-(AG_SupInt-AG_AgInt)*MIN(1,(9-2)/6))</f>
        <v>0</v>
      </c>
      <c r="L16" s="16">
        <f>MAX(AG_AgInt, AG_SupInt-(AG_SupInt-AG_AgInt)*MIN(1,(10-2)/6))</f>
        <v>0</v>
      </c>
      <c r="M16" s="16">
        <f>MAX(AG_AgInt, AG_SupInt-(AG_SupInt-AG_AgInt)*MIN(1,(11-2)/6))</f>
        <v>0</v>
      </c>
      <c r="N16" s="16">
        <f>MAX(AG_AgInt, AG_SupInt-(AG_SupInt-AG_AgInt)*MIN(1,(12-2)/6))</f>
        <v>0</v>
      </c>
      <c r="O16" s="16">
        <f>MAX(AG_AgInt, AG_SupInt-(AG_SupInt-AG_AgInt)*MIN(1,(13-2)/6))</f>
        <v>0</v>
      </c>
      <c r="P16" s="16">
        <f>MAX(AG_AgInt, AG_SupInt-(AG_SupInt-AG_AgInt)*MIN(1,(14-2)/6))</f>
        <v>0</v>
      </c>
      <c r="Q16" s="16">
        <f>MAX(AG_AgInt, AG_SupInt-(AG_SupInt-AG_AgInt)*MIN(1,(15-2)/6))</f>
        <v>0</v>
      </c>
      <c r="R16" s="16">
        <f>MAX(AG_AgInt, AG_SupInt-(AG_SupInt-AG_AgInt)*MIN(1,(16-2)/6))</f>
        <v>0</v>
      </c>
      <c r="S16" s="16">
        <f>MAX(AG_AgInt, AG_SupInt-(AG_SupInt-AG_AgInt)*MIN(1,(17-2)/6))</f>
        <v>0</v>
      </c>
      <c r="T16" s="16">
        <f>MAX(AG_AgInt, AG_SupInt-(AG_SupInt-AG_AgInt)*MIN(1,(18-2)/6))</f>
        <v>0</v>
      </c>
      <c r="U16" s="16">
        <f>MAX(AG_AgInt, AG_SupInt-(AG_SupInt-AG_AgInt)*MIN(1,(19-2)/6))</f>
        <v>0</v>
      </c>
      <c r="V16" s="16">
        <f>MAX(AG_AgInt, AG_SupInt-(AG_SupInt-AG_AgInt)*MIN(1,(20-2)/6))</f>
        <v>0</v>
      </c>
      <c r="W16" s="16">
        <f>MAX(AG_AgInt, AG_SupInt-(AG_SupInt-AG_AgInt)*MIN(1,(21-2)/6))</f>
        <v>0</v>
      </c>
      <c r="X16" s="16">
        <f>MAX(AG_AgInt, AG_SupInt-(AG_SupInt-AG_AgInt)*MIN(1,(22-2)/6))</f>
        <v>0</v>
      </c>
      <c r="Y16" s="16">
        <f>MAX(AG_AgInt, AG_SupInt-(AG_SupInt-AG_AgInt)*MIN(1,(23-2)/6))</f>
        <v>0</v>
      </c>
      <c r="Z16" s="16">
        <f>MAX(AG_AgInt, AG_SupInt-(AG_SupInt-AG_AgInt)*MIN(1,(24-2)/6))</f>
        <v>0</v>
      </c>
    </row>
    <row r="18" spans="1:26">
      <c r="A18" s="4" t="s">
        <v>149</v>
      </c>
    </row>
    <row r="19" spans="1:26">
      <c r="A19" s="2" t="s">
        <v>150</v>
      </c>
      <c r="B19" s="9">
        <f>AG_SubARPA*(1+AG_Exp-AG_RevChurn-AG_Contr)^0+INDEX($B$13:$Z$13,1,1)*AG_PriceRes</f>
        <v>0</v>
      </c>
      <c r="C19" s="9">
        <f>AG_SubARPA*(1+AG_Exp-AG_RevChurn-AG_Contr)^1+INDEX($B$13:$Z$13,1,2)*AG_PriceRes</f>
        <v>0</v>
      </c>
      <c r="D19" s="9">
        <f>AG_SubARPA*(1+AG_Exp-AG_RevChurn-AG_Contr)^2+INDEX($B$13:$Z$13,1,3)*AG_PriceRes</f>
        <v>0</v>
      </c>
      <c r="E19" s="9">
        <f>AG_SubARPA*(1+AG_Exp-AG_RevChurn-AG_Contr)^3+INDEX($B$13:$Z$13,1,4)*AG_PriceRes</f>
        <v>0</v>
      </c>
      <c r="F19" s="9">
        <f>AG_SubARPA*(1+AG_Exp-AG_RevChurn-AG_Contr)^4+INDEX($B$13:$Z$13,1,5)*AG_PriceRes</f>
        <v>0</v>
      </c>
      <c r="G19" s="9">
        <f>AG_SubARPA*(1+AG_Exp-AG_RevChurn-AG_Contr)^5+INDEX($B$13:$Z$13,1,6)*AG_PriceRes</f>
        <v>0</v>
      </c>
      <c r="H19" s="9">
        <f>AG_SubARPA*(1+AG_Exp-AG_RevChurn-AG_Contr)^6+INDEX($B$13:$Z$13,1,7)*AG_PriceRes</f>
        <v>0</v>
      </c>
      <c r="I19" s="9">
        <f>AG_SubARPA*(1+AG_Exp-AG_RevChurn-AG_Contr)^7+INDEX($B$13:$Z$13,1,8)*AG_PriceRes</f>
        <v>0</v>
      </c>
      <c r="J19" s="9">
        <f>AG_SubARPA*(1+AG_Exp-AG_RevChurn-AG_Contr)^8+INDEX($B$13:$Z$13,1,9)*AG_PriceRes</f>
        <v>0</v>
      </c>
      <c r="K19" s="9">
        <f>AG_SubARPA*(1+AG_Exp-AG_RevChurn-AG_Contr)^9+INDEX($B$13:$Z$13,1,10)*AG_PriceRes</f>
        <v>0</v>
      </c>
      <c r="L19" s="9">
        <f>AG_SubARPA*(1+AG_Exp-AG_RevChurn-AG_Contr)^10+INDEX($B$13:$Z$13,1,11)*AG_PriceRes</f>
        <v>0</v>
      </c>
      <c r="M19" s="9">
        <f>AG_SubARPA*(1+AG_Exp-AG_RevChurn-AG_Contr)^11+INDEX($B$13:$Z$13,1,12)*AG_PriceRes</f>
        <v>0</v>
      </c>
      <c r="N19" s="9">
        <f>AG_SubARPA*(1+AG_Exp-AG_RevChurn-AG_Contr)^12+INDEX($B$13:$Z$13,1,13)*AG_PriceRes</f>
        <v>0</v>
      </c>
      <c r="O19" s="9">
        <f>AG_SubARPA*(1+AG_Exp-AG_RevChurn-AG_Contr)^13+INDEX($B$13:$Z$13,1,14)*AG_PriceRes</f>
        <v>0</v>
      </c>
      <c r="P19" s="9">
        <f>AG_SubARPA*(1+AG_Exp-AG_RevChurn-AG_Contr)^14+INDEX($B$13:$Z$13,1,15)*AG_PriceRes</f>
        <v>0</v>
      </c>
      <c r="Q19" s="9">
        <f>AG_SubARPA*(1+AG_Exp-AG_RevChurn-AG_Contr)^15+INDEX($B$13:$Z$13,1,16)*AG_PriceRes</f>
        <v>0</v>
      </c>
      <c r="R19" s="9">
        <f>AG_SubARPA*(1+AG_Exp-AG_RevChurn-AG_Contr)^16+INDEX($B$13:$Z$13,1,17)*AG_PriceRes</f>
        <v>0</v>
      </c>
      <c r="S19" s="9">
        <f>AG_SubARPA*(1+AG_Exp-AG_RevChurn-AG_Contr)^17+INDEX($B$13:$Z$13,1,18)*AG_PriceRes</f>
        <v>0</v>
      </c>
      <c r="T19" s="9">
        <f>AG_SubARPA*(1+AG_Exp-AG_RevChurn-AG_Contr)^18+INDEX($B$13:$Z$13,1,19)*AG_PriceRes</f>
        <v>0</v>
      </c>
      <c r="U19" s="9">
        <f>AG_SubARPA*(1+AG_Exp-AG_RevChurn-AG_Contr)^19+INDEX($B$13:$Z$13,1,20)*AG_PriceRes</f>
        <v>0</v>
      </c>
      <c r="V19" s="9">
        <f>AG_SubARPA*(1+AG_Exp-AG_RevChurn-AG_Contr)^20+INDEX($B$13:$Z$13,1,21)*AG_PriceRes</f>
        <v>0</v>
      </c>
      <c r="W19" s="9">
        <f>AG_SubARPA*(1+AG_Exp-AG_RevChurn-AG_Contr)^21+INDEX($B$13:$Z$13,1,22)*AG_PriceRes</f>
        <v>0</v>
      </c>
      <c r="X19" s="9">
        <f>AG_SubARPA*(1+AG_Exp-AG_RevChurn-AG_Contr)^22+INDEX($B$13:$Z$13,1,23)*AG_PriceRes</f>
        <v>0</v>
      </c>
      <c r="Y19" s="9">
        <f>AG_SubARPA*(1+AG_Exp-AG_RevChurn-AG_Contr)^23+INDEX($B$13:$Z$13,1,24)*AG_PriceRes</f>
        <v>0</v>
      </c>
      <c r="Z19" s="9">
        <f>AG_SubARPA*(1+AG_Exp-AG_RevChurn-AG_Contr)^24+INDEX($B$13:$Z$13,1,25)*AG_PriceRes</f>
        <v>0</v>
      </c>
    </row>
    <row r="21" spans="1:26">
      <c r="A21" s="4" t="s">
        <v>151</v>
      </c>
    </row>
    <row r="22" spans="1:26">
      <c r="A22" s="2" t="s">
        <v>152</v>
      </c>
      <c r="B22" s="9">
        <f>AG_Blend_CPR*INDEX($B$13:$Z$13,1,1)</f>
        <v>0</v>
      </c>
      <c r="C22" s="9">
        <f>AG_Blend_CPR*INDEX($B$13:$Z$13,1,2)</f>
        <v>0</v>
      </c>
      <c r="D22" s="9">
        <f>AG_Blend_CPR*INDEX($B$13:$Z$13,1,3)</f>
        <v>0</v>
      </c>
      <c r="E22" s="9">
        <f>AG_Blend_CPR*INDEX($B$13:$Z$13,1,4)</f>
        <v>0</v>
      </c>
      <c r="F22" s="9">
        <f>AG_Blend_CPR*INDEX($B$13:$Z$13,1,5)</f>
        <v>0</v>
      </c>
      <c r="G22" s="9">
        <f>AG_Blend_CPR*INDEX($B$13:$Z$13,1,6)</f>
        <v>0</v>
      </c>
      <c r="H22" s="9">
        <f>AG_Blend_CPR*INDEX($B$13:$Z$13,1,7)</f>
        <v>0</v>
      </c>
      <c r="I22" s="9">
        <f>AG_Blend_CPR*INDEX($B$13:$Z$13,1,8)</f>
        <v>0</v>
      </c>
      <c r="J22" s="9">
        <f>AG_Blend_CPR*INDEX($B$13:$Z$13,1,9)</f>
        <v>0</v>
      </c>
      <c r="K22" s="9">
        <f>AG_Blend_CPR*INDEX($B$13:$Z$13,1,10)</f>
        <v>0</v>
      </c>
      <c r="L22" s="9">
        <f>AG_Blend_CPR*INDEX($B$13:$Z$13,1,11)</f>
        <v>0</v>
      </c>
      <c r="M22" s="9">
        <f>AG_Blend_CPR*INDEX($B$13:$Z$13,1,12)</f>
        <v>0</v>
      </c>
      <c r="N22" s="9">
        <f>AG_Blend_CPR*INDEX($B$13:$Z$13,1,13)</f>
        <v>0</v>
      </c>
      <c r="O22" s="9">
        <f>AG_Blend_CPR*INDEX($B$13:$Z$13,1,14)</f>
        <v>0</v>
      </c>
      <c r="P22" s="9">
        <f>AG_Blend_CPR*INDEX($B$13:$Z$13,1,15)</f>
        <v>0</v>
      </c>
      <c r="Q22" s="9">
        <f>AG_Blend_CPR*INDEX($B$13:$Z$13,1,16)</f>
        <v>0</v>
      </c>
      <c r="R22" s="9">
        <f>AG_Blend_CPR*INDEX($B$13:$Z$13,1,17)</f>
        <v>0</v>
      </c>
      <c r="S22" s="9">
        <f>AG_Blend_CPR*INDEX($B$13:$Z$13,1,18)</f>
        <v>0</v>
      </c>
      <c r="T22" s="9">
        <f>AG_Blend_CPR*INDEX($B$13:$Z$13,1,19)</f>
        <v>0</v>
      </c>
      <c r="U22" s="9">
        <f>AG_Blend_CPR*INDEX($B$13:$Z$13,1,20)</f>
        <v>0</v>
      </c>
      <c r="V22" s="9">
        <f>AG_Blend_CPR*INDEX($B$13:$Z$13,1,21)</f>
        <v>0</v>
      </c>
      <c r="W22" s="9">
        <f>AG_Blend_CPR*INDEX($B$13:$Z$13,1,22)</f>
        <v>0</v>
      </c>
      <c r="X22" s="9">
        <f>AG_Blend_CPR*INDEX($B$13:$Z$13,1,23)</f>
        <v>0</v>
      </c>
      <c r="Y22" s="9">
        <f>AG_Blend_CPR*INDEX($B$13:$Z$13,1,24)</f>
        <v>0</v>
      </c>
      <c r="Z22" s="9">
        <f>AG_Blend_CPR*INDEX($B$13:$Z$13,1,25)</f>
        <v>0</v>
      </c>
    </row>
    <row r="24" spans="1:26">
      <c r="A24" s="4" t="s">
        <v>153</v>
      </c>
    </row>
    <row r="25" spans="1:26">
      <c r="A25" s="2" t="s">
        <v>154</v>
      </c>
      <c r="B25" s="9">
        <f>INDEX($B$19:$Z$19,1,1)-INDEX($B$22:$Z$22,1,1)</f>
        <v>0</v>
      </c>
      <c r="C25" s="9">
        <f>INDEX($B$19:$Z$19,1,2)-INDEX($B$22:$Z$22,1,2)</f>
        <v>0</v>
      </c>
      <c r="D25" s="9">
        <f>INDEX($B$19:$Z$19,1,3)-INDEX($B$22:$Z$22,1,3)</f>
        <v>0</v>
      </c>
      <c r="E25" s="9">
        <f>INDEX($B$19:$Z$19,1,4)-INDEX($B$22:$Z$22,1,4)</f>
        <v>0</v>
      </c>
      <c r="F25" s="9">
        <f>INDEX($B$19:$Z$19,1,5)-INDEX($B$22:$Z$22,1,5)</f>
        <v>0</v>
      </c>
      <c r="G25" s="9">
        <f>INDEX($B$19:$Z$19,1,6)-INDEX($B$22:$Z$22,1,6)</f>
        <v>0</v>
      </c>
      <c r="H25" s="9">
        <f>INDEX($B$19:$Z$19,1,7)-INDEX($B$22:$Z$22,1,7)</f>
        <v>0</v>
      </c>
      <c r="I25" s="9">
        <f>INDEX($B$19:$Z$19,1,8)-INDEX($B$22:$Z$22,1,8)</f>
        <v>0</v>
      </c>
      <c r="J25" s="9">
        <f>INDEX($B$19:$Z$19,1,9)-INDEX($B$22:$Z$22,1,9)</f>
        <v>0</v>
      </c>
      <c r="K25" s="9">
        <f>INDEX($B$19:$Z$19,1,10)-INDEX($B$22:$Z$22,1,10)</f>
        <v>0</v>
      </c>
      <c r="L25" s="9">
        <f>INDEX($B$19:$Z$19,1,11)-INDEX($B$22:$Z$22,1,11)</f>
        <v>0</v>
      </c>
      <c r="M25" s="9">
        <f>INDEX($B$19:$Z$19,1,12)-INDEX($B$22:$Z$22,1,12)</f>
        <v>0</v>
      </c>
      <c r="N25" s="9">
        <f>INDEX($B$19:$Z$19,1,13)-INDEX($B$22:$Z$22,1,13)</f>
        <v>0</v>
      </c>
      <c r="O25" s="9">
        <f>INDEX($B$19:$Z$19,1,14)-INDEX($B$22:$Z$22,1,14)</f>
        <v>0</v>
      </c>
      <c r="P25" s="9">
        <f>INDEX($B$19:$Z$19,1,15)-INDEX($B$22:$Z$22,1,15)</f>
        <v>0</v>
      </c>
      <c r="Q25" s="9">
        <f>INDEX($B$19:$Z$19,1,16)-INDEX($B$22:$Z$22,1,16)</f>
        <v>0</v>
      </c>
      <c r="R25" s="9">
        <f>INDEX($B$19:$Z$19,1,17)-INDEX($B$22:$Z$22,1,17)</f>
        <v>0</v>
      </c>
      <c r="S25" s="9">
        <f>INDEX($B$19:$Z$19,1,18)-INDEX($B$22:$Z$22,1,18)</f>
        <v>0</v>
      </c>
      <c r="T25" s="9">
        <f>INDEX($B$19:$Z$19,1,19)-INDEX($B$22:$Z$22,1,19)</f>
        <v>0</v>
      </c>
      <c r="U25" s="9">
        <f>INDEX($B$19:$Z$19,1,20)-INDEX($B$22:$Z$22,1,20)</f>
        <v>0</v>
      </c>
      <c r="V25" s="9">
        <f>INDEX($B$19:$Z$19,1,21)-INDEX($B$22:$Z$22,1,21)</f>
        <v>0</v>
      </c>
      <c r="W25" s="9">
        <f>INDEX($B$19:$Z$19,1,22)-INDEX($B$22:$Z$22,1,22)</f>
        <v>0</v>
      </c>
      <c r="X25" s="9">
        <f>INDEX($B$19:$Z$19,1,23)-INDEX($B$22:$Z$22,1,23)</f>
        <v>0</v>
      </c>
      <c r="Y25" s="9">
        <f>INDEX($B$19:$Z$19,1,24)-INDEX($B$22:$Z$22,1,24)</f>
        <v>0</v>
      </c>
      <c r="Z25" s="9">
        <f>INDEX($B$19:$Z$19,1,25)-INDEX($B$22:$Z$22,1,25)</f>
        <v>0</v>
      </c>
    </row>
  </sheetData>
  <mergeCells count="1">
    <mergeCell ref="A1:Z1"/>
  </mergeCells>
  <conditionalFormatting sqref="B10:Z10">
    <cfRule type="colorScale" priority="2">
      <colorScale>
        <cfvo type="num" val="0.6"/>
        <cfvo type="num" val="1.0"/>
        <cfvo type="num" val="1.6"/>
        <color rgb="FFF8696B"/>
        <color rgb="FFFFEB84"/>
        <color rgb="FF63BE7B"/>
      </colorScale>
    </cfRule>
  </conditionalFormatting>
  <conditionalFormatting sqref="B13:Z13">
    <cfRule type="colorScale" priority="3">
      <colorScale>
        <cfvo type="min" val="0"/>
        <cfvo type="percentile" val="50"/>
        <cfvo type="max" val="0"/>
        <color rgb="FFFFFFFF"/>
        <color rgb="FFFFEB84"/>
        <color rgb="FF1F3864"/>
      </colorScale>
    </cfRule>
  </conditionalFormatting>
  <conditionalFormatting sqref="B16:Z16">
    <cfRule type="colorScale" priority="4">
      <colorScale>
        <cfvo type="num" val="0.05"/>
        <cfvo type="num" val="0.2"/>
        <cfvo type="num" val="0.5"/>
        <color rgb="FF63BE7B"/>
        <color rgb="FFFFEB84"/>
        <color rgb="FFF8696B"/>
      </colorScale>
    </cfRule>
  </conditionalFormatting>
  <conditionalFormatting sqref="B25:Z2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:Z7">
    <cfRule type="colorScale" priority="1">
      <colorScale>
        <cfvo type="num" val="0.4"/>
        <cfvo type="num" val="0.7"/>
        <cfvo type="num" val="1.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46.7109375" customWidth="1"/>
    <col min="2" max="2" width="18.7109375" customWidth="1"/>
    <col min="3" max="3" width="14.7109375" customWidth="1"/>
    <col min="4" max="4" width="22.7109375" customWidth="1"/>
    <col min="5" max="5" width="60.7109375" customWidth="1"/>
  </cols>
  <sheetData>
    <row r="1" spans="1:5" ht="28" customHeight="1">
      <c r="A1" s="1" t="s">
        <v>155</v>
      </c>
      <c r="B1" s="1"/>
      <c r="C1" s="1"/>
      <c r="D1" s="1"/>
      <c r="E1" s="1"/>
    </row>
    <row r="2" spans="1:5">
      <c r="A2" s="5" t="s">
        <v>156</v>
      </c>
    </row>
    <row r="3" spans="1:5">
      <c r="A3" s="15" t="s">
        <v>157</v>
      </c>
      <c r="B3" s="15" t="s">
        <v>158</v>
      </c>
      <c r="C3" s="15" t="s">
        <v>159</v>
      </c>
      <c r="D3" s="15" t="s">
        <v>160</v>
      </c>
      <c r="E3" s="15" t="s">
        <v>161</v>
      </c>
    </row>
    <row r="4" spans="1:5">
      <c r="A4" s="2" t="s">
        <v>162</v>
      </c>
      <c r="B4" s="10">
        <f>AG_ARPA/AG_LogoChurn</f>
        <v>0</v>
      </c>
      <c r="C4" s="18" t="s">
        <v>163</v>
      </c>
      <c r="D4" s="18" t="s">
        <v>164</v>
      </c>
      <c r="E4" s="3" t="s">
        <v>165</v>
      </c>
    </row>
    <row r="5" spans="1:5">
      <c r="A5" s="2" t="s">
        <v>166</v>
      </c>
      <c r="B5" s="10">
        <f>AG_ARPA/AG_RevChurn</f>
        <v>0</v>
      </c>
      <c r="C5" s="18" t="s">
        <v>163</v>
      </c>
      <c r="D5" s="18" t="s">
        <v>164</v>
      </c>
      <c r="E5" s="3" t="s">
        <v>167</v>
      </c>
    </row>
    <row r="6" spans="1:5">
      <c r="A6" s="2" t="s">
        <v>168</v>
      </c>
      <c r="B6" s="10">
        <f>IF(AG_RevChurn+AG_Contr-AG_Exp&gt;0,AG_ARPA/(AG_RevChurn+AG_Contr-AG_Exp),AG_ARPA*60)</f>
        <v>0</v>
      </c>
      <c r="C6" s="18" t="s">
        <v>163</v>
      </c>
      <c r="D6" s="18" t="s">
        <v>169</v>
      </c>
      <c r="E6" s="3" t="s">
        <v>170</v>
      </c>
    </row>
    <row r="7" spans="1:5">
      <c r="A7" s="2" t="s">
        <v>171</v>
      </c>
      <c r="B7" s="10">
        <f>AG_ARPA*AG_GM/AG_LogoChurn</f>
        <v>0</v>
      </c>
      <c r="C7" s="18" t="s">
        <v>163</v>
      </c>
      <c r="D7" s="18" t="s">
        <v>164</v>
      </c>
      <c r="E7" s="3" t="s">
        <v>172</v>
      </c>
    </row>
    <row r="8" spans="1:5">
      <c r="A8" s="2" t="s">
        <v>173</v>
      </c>
      <c r="B8" s="10">
        <f>AG_ARPA*AG_GM/AG_LogoChurn*((1-AG_AgInt)/(1-AG_SupInt)+0.5)</f>
        <v>0</v>
      </c>
      <c r="C8" s="18" t="s">
        <v>163</v>
      </c>
      <c r="D8" s="18" t="s">
        <v>174</v>
      </c>
      <c r="E8" s="3" t="s">
        <v>175</v>
      </c>
    </row>
    <row r="9" spans="1:5">
      <c r="A9" s="2" t="s">
        <v>176</v>
      </c>
      <c r="B9" s="10">
        <f>AG_CAC</f>
        <v>0</v>
      </c>
      <c r="C9" s="18" t="s">
        <v>163</v>
      </c>
      <c r="D9" s="18" t="s">
        <v>164</v>
      </c>
      <c r="E9" s="3" t="s">
        <v>177</v>
      </c>
    </row>
    <row r="10" spans="1:5">
      <c r="A10" s="2" t="s">
        <v>178</v>
      </c>
      <c r="B10" s="18">
        <f>AG_CAC/(AG_ARPA*AG_GM)</f>
        <v>0</v>
      </c>
      <c r="C10" s="18" t="s">
        <v>179</v>
      </c>
      <c r="D10" s="18" t="s">
        <v>180</v>
      </c>
      <c r="E10" s="3" t="s">
        <v>181</v>
      </c>
    </row>
    <row r="11" spans="1:5">
      <c r="A11" s="2" t="s">
        <v>182</v>
      </c>
      <c r="B11" s="18">
        <f>(AG_ARPA*AG_GM/AG_LogoChurn)/AG_CAC</f>
        <v>0</v>
      </c>
      <c r="C11" s="18" t="s">
        <v>183</v>
      </c>
      <c r="D11" s="18" t="s">
        <v>184</v>
      </c>
      <c r="E11" s="3" t="s">
        <v>185</v>
      </c>
    </row>
    <row r="12" spans="1:5">
      <c r="A12" s="2" t="s">
        <v>186</v>
      </c>
      <c r="B12" s="16">
        <f>1+(AG_Exp-AG_RevChurn-AG_Contr)*12</f>
        <v>0</v>
      </c>
      <c r="C12" s="18" t="s">
        <v>187</v>
      </c>
      <c r="D12" s="18" t="s">
        <v>188</v>
      </c>
      <c r="E12" s="3" t="s">
        <v>189</v>
      </c>
    </row>
    <row r="13" spans="1:5">
      <c r="A13" s="2" t="s">
        <v>190</v>
      </c>
      <c r="B13" s="16">
        <f>MAX(0,1-AG_RevChurn*12)</f>
        <v>0</v>
      </c>
      <c r="C13" s="18" t="s">
        <v>187</v>
      </c>
      <c r="D13" s="18" t="s">
        <v>191</v>
      </c>
      <c r="E13" s="3" t="s">
        <v>192</v>
      </c>
    </row>
    <row r="14" spans="1:5">
      <c r="A14" s="2" t="s">
        <v>193</v>
      </c>
      <c r="B14" s="18">
        <f>AG_NewARR*4/AG_PriorSM</f>
        <v>0</v>
      </c>
      <c r="C14" s="18" t="s">
        <v>183</v>
      </c>
      <c r="D14" s="18" t="s">
        <v>194</v>
      </c>
      <c r="E14" s="3" t="s">
        <v>195</v>
      </c>
    </row>
    <row r="15" spans="1:5">
      <c r="A15" s="2" t="s">
        <v>196</v>
      </c>
      <c r="B15" s="16">
        <f>AG_Growth+AG_FCF</f>
        <v>0</v>
      </c>
      <c r="C15" s="18" t="s">
        <v>187</v>
      </c>
      <c r="D15" s="18" t="s">
        <v>197</v>
      </c>
      <c r="E15" s="3" t="s">
        <v>198</v>
      </c>
    </row>
    <row r="16" spans="1:5">
      <c r="A16" s="2" t="s">
        <v>199</v>
      </c>
      <c r="B16" s="18">
        <f>IF(AG_NewARR&gt;0,AG_Burn/AG_NewARR,999)</f>
        <v>0</v>
      </c>
      <c r="C16" s="18" t="s">
        <v>183</v>
      </c>
      <c r="D16" s="18" t="s">
        <v>200</v>
      </c>
      <c r="E16" s="3" t="s">
        <v>201</v>
      </c>
    </row>
    <row r="17" spans="1:5">
      <c r="A17" s="2" t="s">
        <v>202</v>
      </c>
      <c r="B17" s="18">
        <f>((AG_NewARR/3)+AG_Exp*AG_ARPA*AG_NewLogos)/((AG_RevChurn+AG_Contr)*AG_ARPA*AG_NewLogos+0.0001)</f>
        <v>0</v>
      </c>
      <c r="C17" s="18" t="s">
        <v>183</v>
      </c>
      <c r="D17" s="18" t="s">
        <v>203</v>
      </c>
      <c r="E17" s="3" t="s">
        <v>204</v>
      </c>
    </row>
    <row r="18" spans="1:5">
      <c r="A18" s="2" t="s">
        <v>205</v>
      </c>
      <c r="B18" s="18">
        <f>IF(AG_Burn/3&gt;0,AG_Cash/(AG_Burn/3),999)</f>
        <v>0</v>
      </c>
      <c r="C18" s="18" t="s">
        <v>179</v>
      </c>
      <c r="D18" s="18" t="s">
        <v>206</v>
      </c>
      <c r="E18" s="3" t="s">
        <v>207</v>
      </c>
    </row>
    <row r="19" spans="1:5">
      <c r="A19" s="2" t="s">
        <v>208</v>
      </c>
      <c r="B19" s="10">
        <f>AG_Blend_CPR-AG_Blend_CPR*((1-AG_AgInt)/(1-AG_SupInt))</f>
        <v>0</v>
      </c>
      <c r="C19" s="18" t="s">
        <v>163</v>
      </c>
      <c r="D19" s="18" t="s">
        <v>209</v>
      </c>
      <c r="E19" s="3" t="s">
        <v>210</v>
      </c>
    </row>
    <row r="20" spans="1:5">
      <c r="A20" s="2" t="s">
        <v>211</v>
      </c>
      <c r="B20" s="16">
        <f>AG_SupInt-AG_AgInt</f>
        <v>0</v>
      </c>
      <c r="C20" s="18" t="s">
        <v>187</v>
      </c>
      <c r="D20" s="18" t="s">
        <v>212</v>
      </c>
      <c r="E20" s="3" t="s">
        <v>213</v>
      </c>
    </row>
    <row r="21" spans="1:5">
      <c r="A21" s="2" t="s">
        <v>214</v>
      </c>
      <c r="B21" s="16">
        <f>AG_SubARPA/AG_ARPA</f>
        <v>0</v>
      </c>
      <c r="C21" s="18" t="s">
        <v>187</v>
      </c>
      <c r="D21" s="18" t="s">
        <v>164</v>
      </c>
      <c r="E21" s="3" t="s">
        <v>215</v>
      </c>
    </row>
    <row r="22" spans="1:5">
      <c r="A22" s="2" t="s">
        <v>216</v>
      </c>
      <c r="B22" s="16">
        <f>1-AG_SubARPA/AG_ARPA</f>
        <v>0</v>
      </c>
      <c r="C22" s="18" t="s">
        <v>187</v>
      </c>
      <c r="D22" s="18" t="s">
        <v>164</v>
      </c>
      <c r="E22" s="3" t="s">
        <v>217</v>
      </c>
    </row>
  </sheetData>
  <mergeCells count="1">
    <mergeCell ref="A1:E1"/>
  </mergeCells>
  <conditionalFormatting sqref="B10">
    <cfRule type="cellIs" dxfId="0" priority="4" operator="lessThanOrEqual">
      <formula>18</formula>
    </cfRule>
    <cfRule type="cellIs" dxfId="1" priority="5" operator="between">
      <formula>18</formula>
      <formula>30</formula>
    </cfRule>
    <cfRule type="cellIs" dxfId="2" priority="6" operator="greaterThan">
      <formula>30</formula>
    </cfRule>
  </conditionalFormatting>
  <conditionalFormatting sqref="B11">
    <cfRule type="cellIs" dxfId="0" priority="1" operator="greaterThanOrEqual">
      <formula>3</formula>
    </cfRule>
    <cfRule type="cellIs" dxfId="1" priority="2" operator="between">
      <formula>1.5</formula>
      <formula>3</formula>
    </cfRule>
    <cfRule type="cellIs" dxfId="2" priority="3" operator="lessThan">
      <formula>1.5</formula>
    </cfRule>
  </conditionalFormatting>
  <conditionalFormatting sqref="B12">
    <cfRule type="cellIs" dxfId="0" priority="7" operator="greaterThanOrEqual">
      <formula>1.2</formula>
    </cfRule>
    <cfRule type="cellIs" dxfId="1" priority="8" operator="between">
      <formula>1.0</formula>
      <formula>1.2</formula>
    </cfRule>
    <cfRule type="cellIs" dxfId="2" priority="9" operator="lessThan">
      <formula>1.0</formula>
    </cfRule>
  </conditionalFormatting>
  <conditionalFormatting sqref="B15">
    <cfRule type="cellIs" dxfId="0" priority="10" operator="greaterThanOrEqual">
      <formula>0.4</formula>
    </cfRule>
    <cfRule type="cellIs" dxfId="1" priority="11" operator="between">
      <formula>0.3</formula>
      <formula>0.4</formula>
    </cfRule>
    <cfRule type="cellIs" dxfId="2" priority="12" operator="lessThan">
      <formula>0.3</formula>
    </cfRule>
  </conditionalFormatting>
  <conditionalFormatting sqref="B16">
    <cfRule type="cellIs" dxfId="0" priority="13" operator="lessThanOrEqual">
      <formula>1.0</formula>
    </cfRule>
    <cfRule type="cellIs" dxfId="1" priority="14" operator="between">
      <formula>1.0</formula>
      <formula>2.0</formula>
    </cfRule>
    <cfRule type="cellIs" dxfId="2" priority="15" operator="greaterThan">
      <formula>2.0</formula>
    </cfRule>
  </conditionalFormatting>
  <conditionalFormatting sqref="B18">
    <cfRule type="cellIs" dxfId="0" priority="16" operator="greaterThanOrEqual">
      <formula>18</formula>
    </cfRule>
    <cfRule type="cellIs" dxfId="1" priority="17" operator="between">
      <formula>9</formula>
      <formula>18</formula>
    </cfRule>
    <cfRule type="cellIs" dxfId="2" priority="18" operator="lessThan">
      <formula>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6.7109375" customWidth="1"/>
    <col min="2" max="2" width="30.7109375" customWidth="1"/>
    <col min="3" max="3" width="12.7109375" customWidth="1"/>
    <col min="4" max="4" width="70.7109375" customWidth="1"/>
  </cols>
  <sheetData>
    <row r="1" spans="1:4" ht="28" customHeight="1">
      <c r="A1" s="1" t="s">
        <v>218</v>
      </c>
      <c r="B1" s="1"/>
      <c r="C1" s="1"/>
      <c r="D1" s="1"/>
    </row>
    <row r="2" spans="1:4">
      <c r="A2" s="5" t="s">
        <v>219</v>
      </c>
    </row>
    <row r="4" spans="1:4">
      <c r="A4" s="15" t="s">
        <v>220</v>
      </c>
      <c r="B4" s="15" t="s">
        <v>221</v>
      </c>
      <c r="C4" s="15" t="s">
        <v>222</v>
      </c>
      <c r="D4" s="15" t="s">
        <v>223</v>
      </c>
    </row>
    <row r="5" spans="1:4">
      <c r="A5" s="2" t="s">
        <v>224</v>
      </c>
      <c r="B5" s="2" t="s">
        <v>225</v>
      </c>
      <c r="C5" s="7">
        <v>2</v>
      </c>
      <c r="D5" s="3" t="s">
        <v>226</v>
      </c>
    </row>
    <row r="6" spans="1:4">
      <c r="A6" s="2" t="s">
        <v>227</v>
      </c>
      <c r="B6" s="2" t="s">
        <v>228</v>
      </c>
      <c r="C6" s="7">
        <v>2</v>
      </c>
      <c r="D6" s="3" t="s">
        <v>229</v>
      </c>
    </row>
    <row r="7" spans="1:4">
      <c r="A7" s="2" t="s">
        <v>230</v>
      </c>
      <c r="B7" s="2" t="s">
        <v>231</v>
      </c>
      <c r="C7" s="7">
        <v>2</v>
      </c>
      <c r="D7" s="3" t="s">
        <v>232</v>
      </c>
    </row>
    <row r="8" spans="1:4">
      <c r="A8" s="2" t="s">
        <v>233</v>
      </c>
      <c r="B8" s="2" t="s">
        <v>234</v>
      </c>
      <c r="C8" s="7">
        <v>2</v>
      </c>
      <c r="D8" s="3" t="s">
        <v>235</v>
      </c>
    </row>
    <row r="9" spans="1:4">
      <c r="A9" s="2" t="s">
        <v>236</v>
      </c>
      <c r="B9" s="2" t="s">
        <v>237</v>
      </c>
      <c r="C9" s="7">
        <v>2</v>
      </c>
      <c r="D9" s="3" t="s">
        <v>238</v>
      </c>
    </row>
    <row r="10" spans="1:4">
      <c r="A10" s="2" t="s">
        <v>239</v>
      </c>
      <c r="B10" s="2" t="s">
        <v>240</v>
      </c>
      <c r="C10" s="7">
        <v>1</v>
      </c>
      <c r="D10" s="3" t="s">
        <v>241</v>
      </c>
    </row>
    <row r="11" spans="1:4">
      <c r="A11" s="2" t="s">
        <v>242</v>
      </c>
      <c r="B11" s="2" t="s">
        <v>243</v>
      </c>
      <c r="C11" s="7">
        <v>2</v>
      </c>
      <c r="D11" s="3" t="s">
        <v>244</v>
      </c>
    </row>
    <row r="12" spans="1:4">
      <c r="A12" s="2" t="s">
        <v>245</v>
      </c>
      <c r="B12" s="2" t="s">
        <v>246</v>
      </c>
      <c r="C12" s="7">
        <v>1</v>
      </c>
      <c r="D12" s="3" t="s">
        <v>247</v>
      </c>
    </row>
    <row r="14" spans="1:4">
      <c r="B14" s="2" t="s">
        <v>248</v>
      </c>
      <c r="C14" s="19">
        <f>SUM(C5:C12)</f>
        <v>0</v>
      </c>
    </row>
    <row r="15" spans="1:4">
      <c r="B15" s="2" t="s">
        <v>249</v>
      </c>
      <c r="C15" s="19">
        <f>IF(C14&lt;=8,"Wrapper",IF(C14&lt;=14,"Incomplete",IF(C14&lt;=19,"Strong moat","Rare strong")))</f>
        <v>0</v>
      </c>
    </row>
    <row r="16" spans="1:4">
      <c r="B16" s="2" t="s">
        <v>250</v>
      </c>
      <c r="C16" s="12">
        <f>IF(C14&lt;=8,0.6,IF(C14&lt;=14,0.85,IF(C14&lt;=19,1.10,1.35)))</f>
        <v>0</v>
      </c>
      <c r="D16" s="3" t="s">
        <v>251</v>
      </c>
    </row>
  </sheetData>
  <mergeCells count="1">
    <mergeCell ref="A1:D1"/>
  </mergeCells>
  <conditionalFormatting sqref="C5:C12">
    <cfRule type="cellIs" dxfId="0" priority="1" operator="equal">
      <formula>3</formula>
    </cfRule>
    <cfRule type="cellIs" dxfId="1" priority="2" operator="equal">
      <formula>2</formula>
    </cfRule>
    <cfRule type="cellIs" dxfId="2" priority="3" operator="lessThanOr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42.7109375" customWidth="1"/>
    <col min="2" max="4" width="16.7109375" customWidth="1"/>
    <col min="5" max="5" width="50.7109375" customWidth="1"/>
  </cols>
  <sheetData>
    <row r="1" spans="1:5" ht="28" customHeight="1">
      <c r="A1" s="1" t="s">
        <v>252</v>
      </c>
      <c r="B1" s="1"/>
      <c r="C1" s="1"/>
      <c r="D1" s="1"/>
      <c r="E1" s="1"/>
    </row>
    <row r="2" spans="1:5">
      <c r="A2" s="5" t="s">
        <v>253</v>
      </c>
    </row>
    <row r="3" spans="1:5">
      <c r="A3" s="15" t="s">
        <v>254</v>
      </c>
      <c r="B3" s="15" t="s">
        <v>255</v>
      </c>
      <c r="C3" s="15" t="s">
        <v>256</v>
      </c>
      <c r="D3" s="15" t="s">
        <v>257</v>
      </c>
      <c r="E3" s="15" t="s">
        <v>258</v>
      </c>
    </row>
    <row r="4" spans="1:5">
      <c r="A4" s="2" t="s">
        <v>259</v>
      </c>
      <c r="B4" s="6">
        <v>79</v>
      </c>
      <c r="C4" s="6">
        <v>99</v>
      </c>
      <c r="D4" s="9">
        <f>AG_ARPA</f>
        <v>0</v>
      </c>
      <c r="E4" s="3" t="s">
        <v>260</v>
      </c>
    </row>
    <row r="5" spans="1:5">
      <c r="A5" s="2" t="s">
        <v>261</v>
      </c>
      <c r="B5" s="8">
        <v>0.8</v>
      </c>
      <c r="C5" s="8">
        <v>0.7</v>
      </c>
      <c r="D5" s="16">
        <f>AG_GM</f>
        <v>0</v>
      </c>
      <c r="E5" s="3" t="s">
        <v>262</v>
      </c>
    </row>
    <row r="6" spans="1:5">
      <c r="A6" s="2" t="s">
        <v>263</v>
      </c>
      <c r="B6" s="8">
        <v>0.02</v>
      </c>
      <c r="C6" s="8">
        <v>0.025</v>
      </c>
      <c r="D6" s="16">
        <f>AG_LogoChurn</f>
        <v>0</v>
      </c>
      <c r="E6" s="3" t="s">
        <v>264</v>
      </c>
    </row>
    <row r="7" spans="1:5">
      <c r="A7" s="2" t="s">
        <v>265</v>
      </c>
      <c r="B7" s="8">
        <v>0.01</v>
      </c>
      <c r="C7" s="8">
        <v>0.012</v>
      </c>
      <c r="D7" s="16">
        <f>AG_Exp</f>
        <v>0</v>
      </c>
      <c r="E7" s="3" t="s">
        <v>266</v>
      </c>
    </row>
    <row r="8" spans="1:5">
      <c r="A8" s="2" t="s">
        <v>267</v>
      </c>
      <c r="B8" s="14">
        <v>1200</v>
      </c>
      <c r="C8" s="14">
        <v>1500</v>
      </c>
      <c r="D8" s="10">
        <f>AG_CAC</f>
        <v>0</v>
      </c>
      <c r="E8" s="3" t="s">
        <v>268</v>
      </c>
    </row>
    <row r="9" spans="1:5">
      <c r="A9" s="2" t="s">
        <v>269</v>
      </c>
      <c r="B9" s="10">
        <f>B4*B5/B6</f>
        <v>0</v>
      </c>
      <c r="C9" s="10">
        <f>C4*C5/C6</f>
        <v>0</v>
      </c>
      <c r="D9" s="10">
        <f>AG_ARPA*AG_GM/AG_LogoChurn</f>
        <v>0</v>
      </c>
      <c r="E9" s="3" t="s">
        <v>270</v>
      </c>
    </row>
    <row r="10" spans="1:5">
      <c r="A10" s="2" t="s">
        <v>271</v>
      </c>
      <c r="B10" s="18">
        <f>B9/B8</f>
        <v>0</v>
      </c>
      <c r="C10" s="18">
        <f>C9/C8</f>
        <v>0</v>
      </c>
      <c r="D10" s="18">
        <f>(AG_ARPA*AG_GM/AG_LogoChurn)/AG_CAC</f>
        <v>0</v>
      </c>
      <c r="E10" s="3" t="s">
        <v>272</v>
      </c>
    </row>
    <row r="11" spans="1:5">
      <c r="A11" s="2" t="s">
        <v>273</v>
      </c>
      <c r="B11" s="18">
        <f>B8/(B4*B5)</f>
        <v>0</v>
      </c>
      <c r="C11" s="18">
        <f>C8/(C4*C5)</f>
        <v>0</v>
      </c>
      <c r="D11" s="18">
        <f>AG_CAC/(AG_ARPA*AG_GM)</f>
        <v>0</v>
      </c>
      <c r="E11" s="3" t="s">
        <v>274</v>
      </c>
    </row>
    <row r="12" spans="1:5">
      <c r="A12" s="2" t="s">
        <v>275</v>
      </c>
      <c r="B12" s="6">
        <v>0.001</v>
      </c>
      <c r="C12" s="6">
        <v>0.05</v>
      </c>
      <c r="D12" s="9">
        <f>AG_Blend_CPR</f>
        <v>0</v>
      </c>
      <c r="E12" s="3" t="s">
        <v>276</v>
      </c>
    </row>
    <row r="13" spans="1:5">
      <c r="A13" s="2" t="s">
        <v>277</v>
      </c>
      <c r="B13" s="8">
        <v>0.05</v>
      </c>
      <c r="C13" s="8">
        <v>0.1</v>
      </c>
      <c r="D13" s="16">
        <f>AG_AgInt</f>
        <v>0</v>
      </c>
      <c r="E13" s="3" t="s">
        <v>278</v>
      </c>
    </row>
    <row r="14" spans="1:5">
      <c r="A14" s="2" t="s">
        <v>279</v>
      </c>
      <c r="B14" s="20" t="s">
        <v>280</v>
      </c>
      <c r="C14" s="20" t="s">
        <v>281</v>
      </c>
      <c r="D14" s="20" t="s">
        <v>282</v>
      </c>
      <c r="E14" s="3" t="s">
        <v>283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42.7109375" customWidth="1"/>
    <col min="2" max="2" width="18.7109375" customWidth="1"/>
    <col min="3" max="7" width="14.7109375" customWidth="1"/>
  </cols>
  <sheetData>
    <row r="1" spans="1:7" ht="30" customHeight="1">
      <c r="A1" s="1" t="s">
        <v>284</v>
      </c>
      <c r="B1" s="1"/>
      <c r="C1" s="1"/>
      <c r="D1" s="1"/>
      <c r="E1" s="1"/>
      <c r="F1" s="1"/>
      <c r="G1" s="1"/>
    </row>
    <row r="4" spans="1:7" ht="24" customHeight="1">
      <c r="A4" s="21" t="s">
        <v>182</v>
      </c>
      <c r="B4" s="22">
        <f>(AG_ARPA*AG_GM/AG_LogoChurn)/AG_CAC</f>
        <v>0</v>
      </c>
    </row>
    <row r="5" spans="1:7" ht="24" customHeight="1">
      <c r="A5" s="21" t="s">
        <v>178</v>
      </c>
      <c r="B5" s="22">
        <f>AG_CAC/(AG_ARPA*AG_GM)</f>
        <v>0</v>
      </c>
    </row>
    <row r="6" spans="1:7" ht="24" customHeight="1">
      <c r="A6" s="21" t="s">
        <v>285</v>
      </c>
      <c r="B6" s="23">
        <f>AG_GM</f>
        <v>0</v>
      </c>
    </row>
    <row r="7" spans="1:7" ht="24" customHeight="1">
      <c r="A7" s="21" t="s">
        <v>186</v>
      </c>
      <c r="B7" s="23">
        <f>1+(AG_Exp-AG_RevChurn-AG_Contr)*12</f>
        <v>0</v>
      </c>
    </row>
    <row r="8" spans="1:7" ht="24" customHeight="1">
      <c r="A8" s="21" t="s">
        <v>190</v>
      </c>
      <c r="B8" s="23">
        <f>MAX(0,1-AG_RevChurn*12)</f>
        <v>0</v>
      </c>
    </row>
    <row r="9" spans="1:7" ht="24" customHeight="1">
      <c r="A9" s="21" t="s">
        <v>286</v>
      </c>
      <c r="B9" s="23">
        <f>AG_Growth+AG_FCF</f>
        <v>0</v>
      </c>
    </row>
    <row r="10" spans="1:7" ht="24" customHeight="1">
      <c r="A10" s="21" t="s">
        <v>287</v>
      </c>
      <c r="B10" s="22">
        <f>AG_NewARR*4/AG_PriorSM</f>
        <v>0</v>
      </c>
    </row>
    <row r="11" spans="1:7" ht="24" customHeight="1">
      <c r="A11" s="21" t="s">
        <v>199</v>
      </c>
      <c r="B11" s="22">
        <f>IF(AG_NewARR&gt;0,AG_Burn/AG_NewARR,999)</f>
        <v>0</v>
      </c>
    </row>
    <row r="12" spans="1:7" ht="24" customHeight="1">
      <c r="A12" s="21" t="s">
        <v>288</v>
      </c>
      <c r="B12" s="22">
        <f>IF(AG_Burn/3&gt;0,AG_Cash/(AG_Burn/3),999)</f>
        <v>0</v>
      </c>
    </row>
    <row r="13" spans="1:7" ht="24" customHeight="1">
      <c r="A13" s="21" t="s">
        <v>289</v>
      </c>
      <c r="B13" s="22">
        <f>Wrap_Score</f>
        <v>0</v>
      </c>
    </row>
    <row r="14" spans="1:7" ht="24" customHeight="1">
      <c r="A14" s="21" t="s">
        <v>290</v>
      </c>
      <c r="B14" s="23">
        <f>Wrap_Modifier</f>
        <v>0</v>
      </c>
    </row>
    <row r="15" spans="1:7" ht="24" customHeight="1">
      <c r="A15" s="21" t="s">
        <v>291</v>
      </c>
      <c r="B15" s="23">
        <f>AG_SupInt-AG_AgInt</f>
        <v>0</v>
      </c>
    </row>
    <row r="16" spans="1:7" ht="24" customHeight="1">
      <c r="A16" s="21" t="s">
        <v>292</v>
      </c>
      <c r="B16" s="24">
        <f>AG_Blend_CPR</f>
        <v>0</v>
      </c>
    </row>
    <row r="17" spans="1:2" ht="24" customHeight="1">
      <c r="A17" s="21" t="s">
        <v>293</v>
      </c>
      <c r="B17" s="24">
        <f>AG_ACV</f>
        <v>0</v>
      </c>
    </row>
    <row r="18" spans="1:2" ht="24" customHeight="1">
      <c r="A18" s="21" t="s">
        <v>294</v>
      </c>
      <c r="B18" s="22">
        <f>AG_ARPA*12*AG_FX_UGX</f>
        <v>0</v>
      </c>
    </row>
  </sheetData>
  <mergeCells count="1">
    <mergeCell ref="A1:G1"/>
  </mergeCells>
  <conditionalFormatting sqref="B11">
    <cfRule type="cellIs" dxfId="0" priority="16" operator="lessThanOrEqual">
      <formula>1.0</formula>
    </cfRule>
    <cfRule type="cellIs" dxfId="1" priority="17" operator="between">
      <formula>1.0</formula>
      <formula>2.0</formula>
    </cfRule>
    <cfRule type="cellIs" dxfId="2" priority="18" operator="greaterThan">
      <formula>2.0</formula>
    </cfRule>
  </conditionalFormatting>
  <conditionalFormatting sqref="B12">
    <cfRule type="cellIs" dxfId="0" priority="19" operator="greaterThanOrEqual">
      <formula>18</formula>
    </cfRule>
    <cfRule type="cellIs" dxfId="1" priority="20" operator="between">
      <formula>9</formula>
      <formula>18</formula>
    </cfRule>
    <cfRule type="cellIs" dxfId="2" priority="21" operator="lessThan">
      <formula>9</formula>
    </cfRule>
  </conditionalFormatting>
  <conditionalFormatting sqref="B13">
    <cfRule type="cellIs" dxfId="0" priority="22" operator="greaterThanOrEqual">
      <formula>15</formula>
    </cfRule>
    <cfRule type="cellIs" dxfId="1" priority="23" operator="between">
      <formula>9</formula>
      <formula>14</formula>
    </cfRule>
    <cfRule type="cellIs" dxfId="2" priority="24" operator="lessThanOrEqual">
      <formula>8</formula>
    </cfRule>
  </conditionalFormatting>
  <conditionalFormatting sqref="B4">
    <cfRule type="cellIs" dxfId="0" priority="1" operator="greaterThanOrEqual">
      <formula>3</formula>
    </cfRule>
    <cfRule type="cellIs" dxfId="1" priority="2" operator="between">
      <formula>1.5</formula>
      <formula>3</formula>
    </cfRule>
    <cfRule type="cellIs" dxfId="2" priority="3" operator="lessThan">
      <formula>1.5</formula>
    </cfRule>
  </conditionalFormatting>
  <conditionalFormatting sqref="B5">
    <cfRule type="cellIs" dxfId="0" priority="4" operator="lessThanOrEqual">
      <formula>18</formula>
    </cfRule>
    <cfRule type="cellIs" dxfId="1" priority="5" operator="between">
      <formula>18</formula>
      <formula>30</formula>
    </cfRule>
    <cfRule type="cellIs" dxfId="2" priority="6" operator="greaterThan">
      <formula>30</formula>
    </cfRule>
  </conditionalFormatting>
  <conditionalFormatting sqref="B6">
    <cfRule type="cellIs" dxfId="0" priority="7" operator="greaterThanOrEqual">
      <formula>0.7</formula>
    </cfRule>
    <cfRule type="cellIs" dxfId="1" priority="8" operator="between">
      <formula>0.5</formula>
      <formula>0.7</formula>
    </cfRule>
    <cfRule type="cellIs" dxfId="2" priority="9" operator="lessThan">
      <formula>0.5</formula>
    </cfRule>
  </conditionalFormatting>
  <conditionalFormatting sqref="B7">
    <cfRule type="cellIs" dxfId="0" priority="10" operator="greaterThanOrEqual">
      <formula>1.2</formula>
    </cfRule>
    <cfRule type="cellIs" dxfId="1" priority="11" operator="between">
      <formula>1.0</formula>
      <formula>1.2</formula>
    </cfRule>
    <cfRule type="cellIs" dxfId="2" priority="12" operator="lessThan">
      <formula>1.0</formula>
    </cfRule>
  </conditionalFormatting>
  <conditionalFormatting sqref="B9">
    <cfRule type="cellIs" dxfId="0" priority="13" operator="greaterThanOrEqual">
      <formula>0.4</formula>
    </cfRule>
    <cfRule type="cellIs" dxfId="1" priority="14" operator="between">
      <formula>0.3</formula>
      <formula>0.4</formula>
    </cfRule>
    <cfRule type="cellIs" dxfId="2" priority="15" operator="lessThan">
      <formula>0.3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44.7109375" customWidth="1"/>
    <col min="2" max="7" width="16.7109375" customWidth="1"/>
  </cols>
  <sheetData>
    <row r="1" spans="1:7" ht="28" customHeight="1">
      <c r="A1" s="1" t="s">
        <v>295</v>
      </c>
      <c r="B1" s="1"/>
      <c r="C1" s="1"/>
      <c r="D1" s="1"/>
      <c r="E1" s="1"/>
      <c r="F1" s="1"/>
      <c r="G1" s="1"/>
    </row>
    <row r="3" spans="1:7">
      <c r="A3" s="15" t="s">
        <v>296</v>
      </c>
      <c r="B3" s="15" t="s">
        <v>297</v>
      </c>
      <c r="C3" s="15" t="s">
        <v>285</v>
      </c>
      <c r="D3" s="15" t="s">
        <v>271</v>
      </c>
      <c r="E3" s="15" t="s">
        <v>286</v>
      </c>
      <c r="F3" s="15" t="s">
        <v>288</v>
      </c>
      <c r="G3" s="15" t="s">
        <v>298</v>
      </c>
    </row>
    <row r="4" spans="1:7">
      <c r="A4" s="2" t="s">
        <v>299</v>
      </c>
      <c r="B4" s="9">
        <f>AG_Blend_CPR</f>
        <v>0</v>
      </c>
      <c r="C4" s="16">
        <f>(AG_ARPA-AG_Blend_CPR*1.0*AG_M12_Res-AG_SubARPA*1.0)/AG_ARPA</f>
        <v>0</v>
      </c>
      <c r="D4" s="18">
        <f>(AG_ARPA*((AG_ARPA-AG_Blend_CPR*1.0*AG_M12_Res-AG_SubARPA*0.15)/AG_ARPA)/(AG_LogoChurn*1.0))/AG_CAC</f>
        <v>0</v>
      </c>
      <c r="E4" s="16">
        <f>(AG_Growth+0)+(AG_FCF+0)</f>
        <v>0</v>
      </c>
      <c r="F4" s="18">
        <f>IF(AG_Burn*1.0/3&gt;0,AG_Cash/(AG_Burn*1.0/3),999)</f>
        <v>0</v>
      </c>
      <c r="G4" s="3" t="s">
        <v>300</v>
      </c>
    </row>
    <row r="5" spans="1:7">
      <c r="A5" s="2" t="s">
        <v>301</v>
      </c>
      <c r="B5" s="9">
        <f>AG_Blend_CPR*3.5</f>
        <v>0</v>
      </c>
      <c r="C5" s="16">
        <f>(AG_ARPA-AG_Blend_CPR*3.5*AG_M12_Res-AG_SubARPA*1.0)/AG_ARPA</f>
        <v>0</v>
      </c>
      <c r="D5" s="18">
        <f>(AG_ARPA*((AG_ARPA-AG_Blend_CPR*3.5*AG_M12_Res-AG_SubARPA*0.15)/AG_ARPA)/(AG_LogoChurn*1.0))/AG_CAC</f>
        <v>0</v>
      </c>
      <c r="E5" s="16">
        <f>(AG_Growth+0)+(AG_FCF+-0.2)</f>
        <v>0</v>
      </c>
      <c r="F5" s="18">
        <f>IF(AG_Burn*1.5/3&gt;0,AG_Cash/(AG_Burn*1.5/3),999)</f>
        <v>0</v>
      </c>
      <c r="G5" s="3" t="s">
        <v>302</v>
      </c>
    </row>
    <row r="6" spans="1:7">
      <c r="A6" s="2" t="s">
        <v>303</v>
      </c>
      <c r="B6" s="9">
        <f>AG_Blend_CPR*1.4</f>
        <v>0</v>
      </c>
      <c r="C6" s="16">
        <f>(AG_ARPA-AG_Blend_CPR*1.4*AG_M12_Res-AG_SubARPA*1.0)/AG_ARPA</f>
        <v>0</v>
      </c>
      <c r="D6" s="18">
        <f>(AG_ARPA*((AG_ARPA-AG_Blend_CPR*1.4*AG_M12_Res-AG_SubARPA*0.15)/AG_ARPA)/(AG_LogoChurn*1.0))/AG_CAC</f>
        <v>0</v>
      </c>
      <c r="E6" s="16">
        <f>(AG_Growth+0)+(AG_FCF+-0.1)</f>
        <v>0</v>
      </c>
      <c r="F6" s="18">
        <f>IF(AG_Burn*1.2/3&gt;0,AG_Cash/(AG_Burn*1.2/3),999)</f>
        <v>0</v>
      </c>
      <c r="G6" s="3" t="s">
        <v>304</v>
      </c>
    </row>
    <row r="7" spans="1:7">
      <c r="A7" s="2" t="s">
        <v>305</v>
      </c>
      <c r="B7" s="9">
        <f>AG_Blend_CPR*1.8</f>
        <v>0</v>
      </c>
      <c r="C7" s="16">
        <f>(AG_ARPA-AG_Blend_CPR*1.8*AG_M12_Res-AG_SubARPA*1.0)/AG_ARPA</f>
        <v>0</v>
      </c>
      <c r="D7" s="18">
        <f>(AG_ARPA*((AG_ARPA-AG_Blend_CPR*1.8*AG_M12_Res-AG_SubARPA*0.15)/AG_ARPA)/(AG_LogoChurn*1.0))/AG_CAC</f>
        <v>0</v>
      </c>
      <c r="E7" s="16">
        <f>(AG_Growth+0)+(AG_FCF+-0.12)</f>
        <v>0</v>
      </c>
      <c r="F7" s="18">
        <f>IF(AG_Burn*1.3/3&gt;0,AG_Cash/(AG_Burn*1.3/3),999)</f>
        <v>0</v>
      </c>
      <c r="G7" s="3" t="s">
        <v>306</v>
      </c>
    </row>
    <row r="8" spans="1:7">
      <c r="A8" s="2" t="s">
        <v>307</v>
      </c>
      <c r="B8" s="9">
        <f>AG_Blend_CPR*1.5</f>
        <v>0</v>
      </c>
      <c r="C8" s="16">
        <f>(AG_ARPA-AG_Blend_CPR*1.5*AG_M12_Res-AG_SubARPA*1.0)/AG_ARPA</f>
        <v>0</v>
      </c>
      <c r="D8" s="18">
        <f>(AG_ARPA*((AG_ARPA-AG_Blend_CPR*1.5*AG_M12_Res-AG_SubARPA*0.15)/AG_ARPA)/(AG_LogoChurn*1.0))/AG_CAC</f>
        <v>0</v>
      </c>
      <c r="E8" s="16">
        <f>(AG_Growth+0)+(AG_FCF+-0.05)</f>
        <v>0</v>
      </c>
      <c r="F8" s="18">
        <f>IF(AG_Burn*1.1/3&gt;0,AG_Cash/(AG_Burn*1.1/3),999)</f>
        <v>0</v>
      </c>
      <c r="G8" s="3" t="s">
        <v>308</v>
      </c>
    </row>
    <row r="9" spans="1:7">
      <c r="A9" s="2" t="s">
        <v>309</v>
      </c>
      <c r="B9" s="9">
        <f>AG_Blend_CPR*0.7</f>
        <v>0</v>
      </c>
      <c r="C9" s="16">
        <f>(AG_ARPA-AG_Blend_CPR*0.7*AG_M12_Res-AG_SubARPA*1.0)/AG_ARPA</f>
        <v>0</v>
      </c>
      <c r="D9" s="18">
        <f>(AG_ARPA*((AG_ARPA-AG_Blend_CPR*0.7*AG_M12_Res-AG_SubARPA*0.15)/AG_ARPA)/(AG_LogoChurn*0.85))/AG_CAC</f>
        <v>0</v>
      </c>
      <c r="E9" s="16">
        <f>(AG_Growth+0.1)+(AG_FCF+0)</f>
        <v>0</v>
      </c>
      <c r="F9" s="18">
        <f>IF(AG_Burn*0.85/3&gt;0,AG_Cash/(AG_Burn*0.85/3),999)</f>
        <v>0</v>
      </c>
      <c r="G9" s="3" t="s">
        <v>310</v>
      </c>
    </row>
    <row r="10" spans="1:7">
      <c r="A10" s="2" t="s">
        <v>311</v>
      </c>
      <c r="B10" s="9">
        <f>AG_Blend_CPR*3.0</f>
        <v>0</v>
      </c>
      <c r="C10" s="16">
        <f>(AG_ARPA-AG_Blend_CPR*3.0*AG_M12_Res-AG_SubARPA*1.0)/AG_ARPA</f>
        <v>0</v>
      </c>
      <c r="D10" s="18">
        <f>(AG_ARPA*((AG_ARPA-AG_Blend_CPR*3.0*AG_M12_Res-AG_SubARPA*0.15)/AG_ARPA)/(AG_LogoChurn*1.2))/AG_CAC</f>
        <v>0</v>
      </c>
      <c r="E10" s="16">
        <f>(AG_Growth+0)+(AG_FCF+-0.25)</f>
        <v>0</v>
      </c>
      <c r="F10" s="18">
        <f>IF(AG_Burn*1.8/3&gt;0,AG_Cash/(AG_Burn*1.8/3),999)</f>
        <v>0</v>
      </c>
      <c r="G10" s="3" t="s">
        <v>312</v>
      </c>
    </row>
  </sheetData>
  <mergeCells count="1">
    <mergeCell ref="A1:G1"/>
  </mergeCells>
  <conditionalFormatting sqref="C4:C10">
    <cfRule type="cellIs" dxfId="0" priority="1" operator="greaterThanOrEqual">
      <formula>0.65</formula>
    </cfRule>
    <cfRule type="cellIs" dxfId="1" priority="2" operator="between">
      <formula>0.4</formula>
      <formula>0.65</formula>
    </cfRule>
    <cfRule type="cellIs" dxfId="2" priority="3" operator="lessThan">
      <formula>0.4</formula>
    </cfRule>
  </conditionalFormatting>
  <conditionalFormatting sqref="D4:D10">
    <cfRule type="cellIs" dxfId="0" priority="4" operator="greaterThanOrEqual">
      <formula>3</formula>
    </cfRule>
    <cfRule type="cellIs" dxfId="1" priority="5" operator="between">
      <formula>1.5</formula>
      <formula>3</formula>
    </cfRule>
    <cfRule type="cellIs" dxfId="2" priority="6" operator="lessThan">
      <formula>1.5</formula>
    </cfRule>
  </conditionalFormatting>
  <conditionalFormatting sqref="F4:F10">
    <cfRule type="cellIs" dxfId="0" priority="7" operator="greaterThanOrEqual">
      <formula>18</formula>
    </cfRule>
    <cfRule type="cellIs" dxfId="1" priority="8" operator="between">
      <formula>9</formula>
      <formula>18</formula>
    </cfRule>
    <cfRule type="cellIs" dxfId="2" priority="9" operator="lessThan">
      <formula>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25" t="s">
        <v>313</v>
      </c>
      <c r="B1" s="25"/>
    </row>
    <row r="3" spans="1:2" ht="60" customHeight="1">
      <c r="A3" s="2" t="s">
        <v>314</v>
      </c>
      <c r="B3" s="26" t="s">
        <v>315</v>
      </c>
    </row>
    <row r="4" spans="1:2" ht="60" customHeight="1">
      <c r="A4" s="2" t="s">
        <v>316</v>
      </c>
      <c r="B4" s="26" t="s">
        <v>317</v>
      </c>
    </row>
    <row r="5" spans="1:2" ht="60" customHeight="1">
      <c r="A5" s="2" t="s">
        <v>318</v>
      </c>
      <c r="B5" s="26" t="s">
        <v>319</v>
      </c>
    </row>
    <row r="6" spans="1:2" ht="60" customHeight="1">
      <c r="A6" s="2" t="s">
        <v>320</v>
      </c>
      <c r="B6" s="26" t="s">
        <v>321</v>
      </c>
    </row>
    <row r="7" spans="1:2" ht="60" customHeight="1">
      <c r="A7" s="2" t="s">
        <v>322</v>
      </c>
      <c r="B7" s="26" t="s">
        <v>323</v>
      </c>
    </row>
    <row r="8" spans="1:2" ht="60" customHeight="1">
      <c r="A8" s="2" t="s">
        <v>324</v>
      </c>
      <c r="B8" s="26" t="s">
        <v>325</v>
      </c>
    </row>
    <row r="9" spans="1:2" ht="60" customHeight="1">
      <c r="A9" s="2" t="s">
        <v>326</v>
      </c>
      <c r="B9" s="26" t="s">
        <v>327</v>
      </c>
    </row>
    <row r="10" spans="1:2" ht="60" customHeight="1">
      <c r="A10" s="2" t="s">
        <v>328</v>
      </c>
      <c r="B10" s="26" t="s">
        <v>329</v>
      </c>
    </row>
    <row r="11" spans="1:2" ht="60" customHeight="1">
      <c r="A11" s="2" t="s">
        <v>330</v>
      </c>
      <c r="B11" s="26" t="s">
        <v>331</v>
      </c>
    </row>
    <row r="12" spans="1:2" ht="60" customHeight="1">
      <c r="A12" s="2" t="s">
        <v>332</v>
      </c>
      <c r="B12" s="26" t="s">
        <v>333</v>
      </c>
    </row>
    <row r="13" spans="1:2" ht="60" customHeight="1">
      <c r="A13" s="2" t="s">
        <v>334</v>
      </c>
      <c r="B13" s="26" t="s">
        <v>335</v>
      </c>
    </row>
    <row r="14" spans="1:2" ht="60" customHeight="1">
      <c r="A14" s="2" t="s">
        <v>336</v>
      </c>
      <c r="B14" s="26" t="s">
        <v>337</v>
      </c>
    </row>
    <row r="15" spans="1:2" ht="60" customHeight="1">
      <c r="A15" s="2" t="s">
        <v>338</v>
      </c>
      <c r="B15" s="26" t="s">
        <v>339</v>
      </c>
    </row>
    <row r="16" spans="1:2" ht="60" customHeight="1">
      <c r="A16" s="2" t="s">
        <v>340</v>
      </c>
      <c r="B16" s="26" t="s">
        <v>341</v>
      </c>
    </row>
    <row r="17" spans="1:2" ht="60" customHeight="1">
      <c r="A17" s="2" t="s">
        <v>342</v>
      </c>
      <c r="B17" s="26" t="s">
        <v>343</v>
      </c>
    </row>
    <row r="18" spans="1:2" ht="60" customHeight="1">
      <c r="A18" s="2" t="s">
        <v>344</v>
      </c>
      <c r="B18" s="26" t="s">
        <v>345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40</vt:i4>
      </vt:variant>
    </vt:vector>
  </HeadingPairs>
  <TitlesOfParts>
    <vt:vector size="49" baseType="lpstr">
      <vt:lpstr>README</vt:lpstr>
      <vt:lpstr>Inputs</vt:lpstr>
      <vt:lpstr>Cohort</vt:lpstr>
      <vt:lpstr>Unit-Economics</vt:lpstr>
      <vt:lpstr>Wrapper-vs-Moat-Scoring</vt:lpstr>
      <vt:lpstr>AI-vs-Agent-Comparison</vt:lpstr>
      <vt:lpstr>Dashboard</vt:lpstr>
      <vt:lpstr>Stress-Test</vt:lpstr>
      <vt:lpstr>Africa-Notes</vt:lpstr>
      <vt:lpstr>AG_ACV</vt:lpstr>
      <vt:lpstr>AG_AgInt</vt:lpstr>
      <vt:lpstr>AG_ARPA</vt:lpstr>
      <vt:lpstr>AG_Blend_CPR</vt:lpstr>
      <vt:lpstr>AG_Burn</vt:lpstr>
      <vt:lpstr>AG_CAC</vt:lpstr>
      <vt:lpstr>AG_Cash</vt:lpstr>
      <vt:lpstr>AG_Contr</vt:lpstr>
      <vt:lpstr>AG_Exp</vt:lpstr>
      <vt:lpstr>AG_FCF</vt:lpstr>
      <vt:lpstr>AG_FX_UGX</vt:lpstr>
      <vt:lpstr>AG_GM</vt:lpstr>
      <vt:lpstr>AG_Growth</vt:lpstr>
      <vt:lpstr>AG_HMin</vt:lpstr>
      <vt:lpstr>AG_HRate</vt:lpstr>
      <vt:lpstr>AG_Invol</vt:lpstr>
      <vt:lpstr>AG_LogoChurn</vt:lpstr>
      <vt:lpstr>AG_M0_Res</vt:lpstr>
      <vt:lpstr>AG_M12_Res</vt:lpstr>
      <vt:lpstr>AG_M24_Res</vt:lpstr>
      <vt:lpstr>AG_NewARR</vt:lpstr>
      <vt:lpstr>AG_NewLogos</vt:lpstr>
      <vt:lpstr>AG_PriceRes</vt:lpstr>
      <vt:lpstr>AG_PriorSM</vt:lpstr>
      <vt:lpstr>AG_ResAg</vt:lpstr>
      <vt:lpstr>AG_ResSup</vt:lpstr>
      <vt:lpstr>AG_RetMult</vt:lpstr>
      <vt:lpstr>AG_RevChurn</vt:lpstr>
      <vt:lpstr>AG_SM</vt:lpstr>
      <vt:lpstr>AG_SubARPA</vt:lpstr>
      <vt:lpstr>AG_SupInt</vt:lpstr>
      <vt:lpstr>AG_Upgrade</vt:lpstr>
      <vt:lpstr>Tgt_GM</vt:lpstr>
      <vt:lpstr>Tgt_LTV_CAC</vt:lpstr>
      <vt:lpstr>Tgt_NRR</vt:lpstr>
      <vt:lpstr>Tgt_Pay</vt:lpstr>
      <vt:lpstr>Tgt_R40</vt:lpstr>
      <vt:lpstr>Wrap_Min</vt:lpstr>
      <vt:lpstr>Wrap_Modifier</vt:lpstr>
      <vt:lpstr>Wrap_Score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2026-05-11T14:21:14Z</dcterms:created>
  <dcterms:modified xsi:type="dcterms:W3CDTF">2026-05-11T14:21:14Z</dcterms:modified>
</cp:coreProperties>
</file>