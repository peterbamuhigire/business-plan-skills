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Logo-Cohort" sheetId="3" r:id="rId3"/>
    <sheet name="Revenue-Cohort" sheetId="4" r:id="rId4"/>
    <sheet name="NRR-GRR" sheetId="5" r:id="rId5"/>
    <sheet name="Involuntary-Churn" sheetId="6" r:id="rId6"/>
    <sheet name="Dashboard" sheetId="7" r:id="rId7"/>
    <sheet name="Africa-Notes" sheetId="8" r:id="rId8"/>
  </sheets>
  <definedNames>
    <definedName name="ARPA_C">Inputs!$B$12</definedName>
    <definedName name="Bank_Invol">Inputs!$B$30</definedName>
    <definedName name="Bank_Mix">Inputs!$B$26</definedName>
    <definedName name="Base_Logo_Churn">Inputs!$B$17</definedName>
    <definedName name="Base_Rev_Churn">Inputs!$B$20</definedName>
    <definedName name="Card_Invol">Inputs!$B$29</definedName>
    <definedName name="Card_Mix">Inputs!$B$25</definedName>
    <definedName name="Churn_Floor">Inputs!$B$19</definedName>
    <definedName name="Contraction_C">Inputs!$B$14</definedName>
    <definedName name="Decay_Factor">Inputs!$B$18</definedName>
    <definedName name="Dunning_Recovery">Inputs!$B$31</definedName>
    <definedName name="Expansion_C">Inputs!$B$13</definedName>
    <definedName name="FX_C">Inputs!$B$35</definedName>
    <definedName name="MoMo_Invol">Inputs!$B$28</definedName>
    <definedName name="MoMo_Mix">Inputs!$B$24</definedName>
    <definedName name="MPesa_Invol">Inputs!$B$27</definedName>
    <definedName name="MPesa_Mix">Inputs!$B$23</definedName>
  </definedNames>
  <calcPr calcId="124519" fullCalcOnLoad="1"/>
</workbook>
</file>

<file path=xl/sharedStrings.xml><?xml version="1.0" encoding="utf-8"?>
<sst xmlns="http://schemas.openxmlformats.org/spreadsheetml/2006/main" count="245" uniqueCount="180">
  <si>
    <t>SaaS Cohort &amp; Retention Model</t>
  </si>
  <si>
    <t>Purpose</t>
  </si>
  <si>
    <t>36-month logo and revenue cohort retention matrix with optional tenure-decay (churn falls as cohorts mature), NRR / GRR trend, and separate involuntary-churn tracking by African payment rail (M-Pesa, MoMo, card). Surfaces the 'smile curve' test that distinguishes net-negative-churn SaaS from acquisition-treadmill SaaS.</t>
  </si>
  <si>
    <t>Sheets in this workbook</t>
  </si>
  <si>
    <t>Inputs</t>
  </si>
  <si>
    <t>New logos by channel (12 mo), ARPA, base churn, tenure decay factor, expansion, involuntary churn by rail.</t>
  </si>
  <si>
    <t>Logo-Cohort</t>
  </si>
  <si>
    <t>36-month logo retention matrix, formula-driven, with cohort heatmap.</t>
  </si>
  <si>
    <t>Revenue-Cohort</t>
  </si>
  <si>
    <t>Revenue-weighted retention with expansion compounding; smile-curve test.</t>
  </si>
  <si>
    <t>NRR-GRR</t>
  </si>
  <si>
    <t>Aggregate NRR and GRR trended monthly; trigger thresholds.</t>
  </si>
  <si>
    <t>Involuntary-Churn</t>
  </si>
  <si>
    <t>Dunning-recoverable vs hard-lost across M-Pesa / MoMo / Card rails.</t>
  </si>
  <si>
    <t>Dashboard</t>
  </si>
  <si>
    <t>Cohort heatmap, NRR trend, churn curve, smile-curve test.</t>
  </si>
  <si>
    <t>Africa-Notes</t>
  </si>
  <si>
    <t>Payment-rail mechanics, public-sector cohort split, regional split discipline.</t>
  </si>
  <si>
    <t>Owner</t>
  </si>
  <si>
    <t>CFO / Head of Customer Success</t>
  </si>
  <si>
    <t>Update cadence</t>
  </si>
  <si>
    <t>Monthly cohort refresh from billing system. Quarterly QBR slide.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</si>
  <si>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</si>
  <si>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</si>
  <si>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</si>
  <si>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Mersch (Hacking SaaS) ch. 11; Skok forentrepreneurs.com; ChartMogul SaaS Benchmarks; Garbugli.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</si>
  <si>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</si>
  <si>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</si>
  <si>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Cohort &amp; Retention Model</t>
  </si>
  <si>
    <t>1. New Logos Acquired per Month (12 cohorts)</t>
  </si>
  <si>
    <t>Month / Cohort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</si>
  <si>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</si>
  <si>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</si>
  <si>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</si>
  <si>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</si>
  <si>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</si>
  <si>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</si>
  <si>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</si>
  <si>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</si>
  <si>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</si>
  <si>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</si>
  <si>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</si>
  <si>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</si>
  <si>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Paid channel</t>
  </si>
  <si>
    <t>Inbound channel</t>
  </si>
  <si>
    <t>Outbound channel</t>
  </si>
  <si>
    <t>Partner channel</t>
  </si>
  <si>
    <t>Total new logos (calc)</t>
  </si>
  <si>
    <t>2. Pricing &amp; Expansion</t>
  </si>
  <si>
    <t>ARPA ($/month)</t>
  </si>
  <si>
    <t>Monthly expansion rate (existing customers)</t>
  </si>
  <si>
    <t>Monthly contraction rate</t>
  </si>
  <si>
    <t>3. Churn — Base + Tenure Decay</t>
  </si>
  <si>
    <t>Base monthly logo churn (M1)</t>
  </si>
  <si>
    <t>Tenure decay factor (per month, applied multiplicatively)</t>
  </si>
  <si>
    <t>Rationale: cohorts mature → churn falls. 0.97 means each month's churn is 97% of the prior month's.</t>
  </si>
  <si>
    <t>Floor monthly logo churn (long-run)</t>
  </si>
  <si>
    <t>Monthly revenue (gross) churn (base)</t>
  </si>
  <si>
    <t>4. Involuntary Churn by Payment Rail</t>
  </si>
  <si>
    <t>% revenue collected via M-Pesa</t>
  </si>
  <si>
    <t>% revenue collected via MoMo (MTN/Airtel)</t>
  </si>
  <si>
    <t>% revenue collected via card / Stripe / Flutterwave</t>
  </si>
  <si>
    <t>% revenue collected via bank-transfer / invoice</t>
  </si>
  <si>
    <t>M-Pesa monthly involuntary churn</t>
  </si>
  <si>
    <t>MoMo monthly involuntary churn</t>
  </si>
  <si>
    <t>Card monthly involuntary churn</t>
  </si>
  <si>
    <t>Bank-transfer monthly involuntary churn</t>
  </si>
  <si>
    <t>Dunning recovery rate</t>
  </si>
  <si>
    <t>% of failed payments recovered via 3-retry dunning over 7 days.</t>
  </si>
  <si>
    <t>5. FX</t>
  </si>
  <si>
    <t>Reporting currency</t>
  </si>
  <si>
    <t>UGX</t>
  </si>
  <si>
    <t>FX (local per 1 USD)</t>
  </si>
  <si>
    <t>Logo Cohort Retention (% of original cohort still active)</t>
  </si>
  <si>
    <t>Retention(t) = retention(t-1) × (1 - churn_t), churn_t = MAX(floor, base × decay^t)</t>
  </si>
  <si>
    <t>Cohort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</si>
  <si>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</si>
  <si>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</si>
  <si>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</si>
  <si>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</si>
  <si>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</si>
  <si>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</si>
  <si>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</si>
  <si>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</si>
  <si>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</si>
  <si>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</si>
  <si>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</si>
  <si>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</si>
  <si>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</si>
  <si>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</si>
  <si>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</si>
  <si>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</si>
  <si>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</si>
  <si>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</si>
  <si>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</si>
  <si>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</si>
  <si>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</si>
  <si>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</si>
  <si>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</si>
  <si>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</si>
  <si>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</si>
  <si>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</si>
  <si>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</si>
  <si>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</si>
  <si>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</si>
  <si>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</si>
  <si>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</si>
  <si>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</si>
  <si>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</si>
  <si>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</si>
  <si>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Cohort 01</t>
  </si>
  <si>
    <t>Cohort 02</t>
  </si>
  <si>
    <t>Cohort 03</t>
  </si>
  <si>
    <t>Cohort 04</t>
  </si>
  <si>
    <t>Cohort 05</t>
  </si>
  <si>
    <t>Cohort 06</t>
  </si>
  <si>
    <t>Cohort 07</t>
  </si>
  <si>
    <t>Cohort 08</t>
  </si>
  <si>
    <t>Cohort 09</t>
  </si>
  <si>
    <t>Cohort 10</t>
  </si>
  <si>
    <t>Cohort 11</t>
  </si>
  <si>
    <t>Cohort 12</t>
  </si>
  <si>
    <t>Revenue Cohort Retention (NRR per cohort)</t>
  </si>
  <si>
    <t>Rev(t) = Rev(t-1) × Logo_Retention_growth × (1 + Expansion - Contraction). Includes expansion compounding.</t>
  </si>
  <si>
    <t>NRR / GRR Aggregate Trend (annualised)</t>
  </si>
  <si>
    <t>Period</t>
  </si>
  <si>
    <t>GRR (annual, modeled flat from inputs)</t>
  </si>
  <si>
    <t>NRR (annual, modeled flat from inputs)</t>
  </si>
  <si>
    <t>Target NRR (&gt;=110% best)</t>
  </si>
  <si>
    <t>Target GRR (&gt;=85% Mid)</t>
  </si>
  <si>
    <t>Involuntary Churn — by Payment Rail</t>
  </si>
  <si>
    <t>Rail</t>
  </si>
  <si>
    <t>Revenue mix</t>
  </si>
  <si>
    <t>Monthly invol. churn</t>
  </si>
  <si>
    <t>Annualised</t>
  </si>
  <si>
    <t>Dunning-recovered</t>
  </si>
  <si>
    <t>Hard-lost (annual)</t>
  </si>
  <si>
    <t>M-Pesa</t>
  </si>
  <si>
    <t>MoMo (MTN/Airtel)</t>
  </si>
  <si>
    <t>Card</t>
  </si>
  <si>
    <t>Bank-transfer / invoice</t>
  </si>
  <si>
    <t>BLENDED (rev-mix-weighted)</t>
  </si>
  <si>
    <t>Operating implications</t>
  </si>
  <si>
    <t>Hard-lost annual % is the real customer-attrition consequence of payment-rail friction. Reduce it via (1) STK-Push retry sequencing on M-Pesa, (2) PIN-failure SMS guidance on MoMo, (3) Account-Updater on card. Best-in-class target hard-lost &lt;1% — Africa typical 3-6%.</t>
  </si>
  <si>
    <t>Dashboard — Cohort &amp; Retention</t>
  </si>
  <si>
    <t>Annualised GRR</t>
  </si>
  <si>
    <t>Annualised NRR</t>
  </si>
  <si>
    <t>Blended Involuntary Churn (annual)</t>
  </si>
  <si>
    <t>Hard-lost annual %</t>
  </si>
  <si>
    <t>12-month Logo Retention (cohort 01)</t>
  </si>
  <si>
    <t>24-month Logo Retention (cohort 01)</t>
  </si>
  <si>
    <t>12-month Revenue Retention (cohort 01)</t>
  </si>
  <si>
    <t>24-month Revenue Retention (cohort 01)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</si>
  <si>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</si>
  <si>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</si>
  <si>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</si>
  <si>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</si>
  <si>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</si>
  <si>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</si>
  <si>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</si>
  <si>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</si>
  <si>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</si>
  <si>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</si>
  <si>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</si>
  <si>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</si>
  <si>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</si>
  <si>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</si>
  <si>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</si>
  <si>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</si>
  <si>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</si>
  <si>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</si>
  <si>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</si>
  <si>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</si>
  <si>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</si>
  <si>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</si>
  <si>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</si>
  <si>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Regional Cohort Splits</t>
  </si>
  <si>
    <t>For multi-region SaaS, split cohorts by region (Nairobi/Mombasa/Kisumu; Lagos/Abuja/Port Harcourt; Kampala/Mbarara/Gulu). Regional economic conditions drive different churn dynamics — a single national curve hides actionable variance.</t>
  </si>
  <si>
    <t>Public-Sector vs Private-Sector Cohorts</t>
  </si>
  <si>
    <t>Public-sector / NGO cohorts in Africa churn by funding cycle (renewal lapse at end of grant period, not value dissatisfaction). Separate from private-sector cohorts or the curve will mislead investors.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</si>
</sst>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%"/>
    <numFmt numFmtId="167" formatCode="#,##0.0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164" fontId="0" fillId="5" borderId="3" xfId="0" applyNumberFormat="1" applyFill="1" applyBorder="1" applyProtection="1">
      <protection locked="0"/>
    </xf>
    <xf numFmtId="164" fontId="2" fillId="6" borderId="2" xfId="0" applyNumberFormat="1" applyFont="1" applyFill="1" applyBorder="1"/>
    <xf numFmtId="165" fontId="0" fillId="5" borderId="3" xfId="0" applyNumberFormat="1" applyFill="1" applyBorder="1" applyProtection="1">
      <protection locked="0"/>
    </xf>
    <xf numFmtId="166" fontId="0" fillId="5" borderId="3" xfId="0" applyNumberFormat="1" applyFill="1" applyBorder="1" applyProtection="1">
      <protection locked="0"/>
    </xf>
    <xf numFmtId="167" fontId="0" fillId="5" borderId="3" xfId="0" applyNumberFormat="1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6" fillId="0" borderId="0" xfId="0" applyFont="1" applyAlignment="1">
      <alignment horizontal="left"/>
    </xf>
    <xf numFmtId="166" fontId="0" fillId="7" borderId="3" xfId="0" applyNumberFormat="1" applyFill="1" applyBorder="1"/>
    <xf numFmtId="166" fontId="2" fillId="6" borderId="2" xfId="0" applyNumberFormat="1" applyFont="1" applyFill="1" applyBorder="1"/>
    <xf numFmtId="0" fontId="5" fillId="2" borderId="2" xfId="0" applyFont="1" applyFill="1" applyBorder="1" applyAlignment="1">
      <alignment horizontal="left" vertical="center"/>
    </xf>
    <xf numFmtId="166" fontId="7" fillId="7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8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8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8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Smile-Curve Test — Revenue Cohort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Cohort 01 Revenue Retention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'Revenue-Cohort'!$B$5:$AN$5</c:f>
              <c:strCache>
                <c:ptCount val="39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  <c:pt idx="25">
                  <c:v>M25</c:v>
                </c:pt>
                <c:pt idx="26">
                  <c:v>M26</c:v>
                </c:pt>
                <c:pt idx="27">
                  <c:v>M27</c:v>
                </c:pt>
                <c:pt idx="28">
                  <c:v>M28</c:v>
                </c:pt>
                <c:pt idx="29">
                  <c:v>M29</c:v>
                </c:pt>
                <c:pt idx="30">
                  <c:v>M30</c:v>
                </c:pt>
                <c:pt idx="31">
                  <c:v>M31</c:v>
                </c:pt>
                <c:pt idx="32">
                  <c:v>M32</c:v>
                </c:pt>
                <c:pt idx="33">
                  <c:v>M33</c:v>
                </c:pt>
                <c:pt idx="34">
                  <c:v>M34</c:v>
                </c:pt>
                <c:pt idx="35">
                  <c:v>M35</c:v>
                </c:pt>
                <c:pt idx="36">
                  <c:v>M36</c:v>
                </c:pt>
              </c:strCache>
            </c:strRef>
          </c:cat>
          <c:val>
            <c:numRef>
              <c:f>'Revenue-Cohort'!$B$6:$AN$6</c:f>
              <c:numCache>
                <c:formatCode>General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ser>
          <c:idx val="1"/>
          <c:order val="1"/>
          <c:tx>
            <c:v>Cohort 06 Revenue Retention</c:v>
          </c:tx>
          <c:spPr>
            <a:ln w="254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'Revenue-Cohort'!$B$5:$AN$5</c:f>
              <c:strCache>
                <c:ptCount val="39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  <c:pt idx="25">
                  <c:v>M25</c:v>
                </c:pt>
                <c:pt idx="26">
                  <c:v>M26</c:v>
                </c:pt>
                <c:pt idx="27">
                  <c:v>M27</c:v>
                </c:pt>
                <c:pt idx="28">
                  <c:v>M28</c:v>
                </c:pt>
                <c:pt idx="29">
                  <c:v>M29</c:v>
                </c:pt>
                <c:pt idx="30">
                  <c:v>M30</c:v>
                </c:pt>
                <c:pt idx="31">
                  <c:v>M31</c:v>
                </c:pt>
                <c:pt idx="32">
                  <c:v>M32</c:v>
                </c:pt>
                <c:pt idx="33">
                  <c:v>M33</c:v>
                </c:pt>
                <c:pt idx="34">
                  <c:v>M34</c:v>
                </c:pt>
                <c:pt idx="35">
                  <c:v>M35</c:v>
                </c:pt>
                <c:pt idx="36">
                  <c:v>M36</c:v>
                </c:pt>
              </c:strCache>
            </c:strRef>
          </c:cat>
          <c:val>
            <c:numRef>
              <c:f>'Revenue-Cohort'!$B$11:$AN$11</c:f>
              <c:numCache>
                <c:formatCode>General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acquisition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M0 revenue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Logo Retention — Cohort 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Cohort 01 Logo Retention</c:v>
          </c:tx>
          <c:spPr>
            <a:ln w="31750">
              <a:solidFill>
                <a:srgbClr val="C65911"/>
              </a:solidFill>
            </a:ln>
          </c:spPr>
          <c:marker>
            <c:symbol val="none"/>
          </c:marker>
          <c:cat>
            <c:strRef>
              <c:f>'Logo-Cohort'!$B$5:$AN$5</c:f>
              <c:strCache>
                <c:ptCount val="39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  <c:pt idx="25">
                  <c:v>M25</c:v>
                </c:pt>
                <c:pt idx="26">
                  <c:v>M26</c:v>
                </c:pt>
                <c:pt idx="27">
                  <c:v>M27</c:v>
                </c:pt>
                <c:pt idx="28">
                  <c:v>M28</c:v>
                </c:pt>
                <c:pt idx="29">
                  <c:v>M29</c:v>
                </c:pt>
                <c:pt idx="30">
                  <c:v>M30</c:v>
                </c:pt>
                <c:pt idx="31">
                  <c:v>M31</c:v>
                </c:pt>
                <c:pt idx="32">
                  <c:v>M32</c:v>
                </c:pt>
                <c:pt idx="33">
                  <c:v>M33</c:v>
                </c:pt>
                <c:pt idx="34">
                  <c:v>M34</c:v>
                </c:pt>
                <c:pt idx="35">
                  <c:v>M35</c:v>
                </c:pt>
                <c:pt idx="36">
                  <c:v>M36</c:v>
                </c:pt>
              </c:strCache>
            </c:strRef>
          </c:cat>
          <c:val>
            <c:numRef>
              <c:f>'Logo-Cohort'!$B$6:$AN$6</c:f>
              <c:numCache>
                <c:formatCode>General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retained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Hard-lost Annual % by Payment Rail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Hard-lost annual %</c:v>
          </c:tx>
          <c:spPr>
            <a:solidFill>
              <a:srgbClr val="C65911"/>
            </a:solidFill>
          </c:spPr>
          <c:cat>
            <c:strRef>
              <c:f>'Involuntary-Churn'!$A$4:$A$7</c:f>
              <c:strCache>
                <c:ptCount val="4"/>
                <c:pt idx="0">
                  <c:v>M-Pesa</c:v>
                </c:pt>
                <c:pt idx="1">
                  <c:v>MoMo (MTN/Airtel)</c:v>
                </c:pt>
                <c:pt idx="2">
                  <c:v>Card</c:v>
                </c:pt>
                <c:pt idx="3">
                  <c:v>Bank-transfer / invoice</c:v>
                </c:pt>
              </c:strCache>
            </c:strRef>
          </c:cat>
          <c:val>
            <c:numRef>
              <c:f>'Involuntary-Churn'!$F$4:$F$7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revenue</a:t>
                </a:r>
              </a:p>
            </c:rich>
          </c:tx>
          <c:layout/>
        </c:title>
        <c:numFmt formatCode="0.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304800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15</xdr:col>
      <xdr:colOff>304800</xdr:colOff>
      <xdr:row>41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15</xdr:col>
      <xdr:colOff>304800</xdr:colOff>
      <xdr:row>61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9" spans="1:2">
      <c r="A19" s="2" t="s">
        <v>26</v>
      </c>
      <c r="B19" s="3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cols>
    <col min="1" max="1" width="40.7109375" customWidth="1"/>
    <col min="2" max="13" width="10.7109375" customWidth="1"/>
  </cols>
  <sheetData>
    <row r="1" spans="1:13" ht="28" customHeight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4" t="s">
        <v>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</row>
    <row r="5" spans="1:13">
      <c r="A5" s="2" t="s">
        <v>43</v>
      </c>
      <c r="B5" s="6">
        <v>3</v>
      </c>
      <c r="C5" s="6">
        <v>4</v>
      </c>
      <c r="D5" s="6">
        <v>5</v>
      </c>
      <c r="E5" s="6">
        <v>6</v>
      </c>
      <c r="F5" s="6">
        <v>8</v>
      </c>
      <c r="G5" s="6">
        <v>10</v>
      </c>
      <c r="H5" s="6">
        <v>12</v>
      </c>
      <c r="I5" s="6">
        <v>12</v>
      </c>
      <c r="J5" s="6">
        <v>15</v>
      </c>
      <c r="K5" s="6">
        <v>15</v>
      </c>
      <c r="L5" s="6">
        <v>18</v>
      </c>
      <c r="M5" s="6">
        <v>20</v>
      </c>
    </row>
    <row r="6" spans="1:13">
      <c r="A6" s="2" t="s">
        <v>44</v>
      </c>
      <c r="B6" s="6">
        <v>5</v>
      </c>
      <c r="C6" s="6">
        <v>6</v>
      </c>
      <c r="D6" s="6">
        <v>7</v>
      </c>
      <c r="E6" s="6">
        <v>9</v>
      </c>
      <c r="F6" s="6">
        <v>12</v>
      </c>
      <c r="G6" s="6">
        <v>15</v>
      </c>
      <c r="H6" s="6">
        <v>18</v>
      </c>
      <c r="I6" s="6">
        <v>20</v>
      </c>
      <c r="J6" s="6">
        <v>22</v>
      </c>
      <c r="K6" s="6">
        <v>25</v>
      </c>
      <c r="L6" s="6">
        <v>28</v>
      </c>
      <c r="M6" s="6">
        <v>32</v>
      </c>
    </row>
    <row r="7" spans="1:13">
      <c r="A7" s="2" t="s">
        <v>45</v>
      </c>
      <c r="B7" s="6">
        <v>2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8</v>
      </c>
      <c r="I7" s="6">
        <v>10</v>
      </c>
      <c r="J7" s="6">
        <v>12</v>
      </c>
      <c r="K7" s="6">
        <v>12</v>
      </c>
      <c r="L7" s="6">
        <v>14</v>
      </c>
      <c r="M7" s="6">
        <v>16</v>
      </c>
    </row>
    <row r="8" spans="1:13">
      <c r="A8" s="2" t="s">
        <v>46</v>
      </c>
      <c r="B8" s="6">
        <v>1</v>
      </c>
      <c r="C8" s="6">
        <v>1</v>
      </c>
      <c r="D8" s="6">
        <v>2</v>
      </c>
      <c r="E8" s="6">
        <v>2</v>
      </c>
      <c r="F8" s="6">
        <v>3</v>
      </c>
      <c r="G8" s="6">
        <v>4</v>
      </c>
      <c r="H8" s="6">
        <v>5</v>
      </c>
      <c r="I8" s="6">
        <v>5</v>
      </c>
      <c r="J8" s="6">
        <v>6</v>
      </c>
      <c r="K8" s="6">
        <v>7</v>
      </c>
      <c r="L8" s="6">
        <v>8</v>
      </c>
      <c r="M8" s="6">
        <v>10</v>
      </c>
    </row>
    <row r="9" spans="1:13">
      <c r="A9" s="2" t="s">
        <v>47</v>
      </c>
      <c r="B9" s="7">
        <f>SUM(B5:B8)</f>
        <v>0</v>
      </c>
      <c r="C9" s="7">
        <f>SUM(C5:C8)</f>
        <v>0</v>
      </c>
      <c r="D9" s="7">
        <f>SUM(D5:D8)</f>
        <v>0</v>
      </c>
      <c r="E9" s="7">
        <f>SUM(E5:E8)</f>
        <v>0</v>
      </c>
      <c r="F9" s="7">
        <f>SUM(F5:F8)</f>
        <v>0</v>
      </c>
      <c r="G9" s="7">
        <f>SUM(G5:G8)</f>
        <v>0</v>
      </c>
      <c r="H9" s="7">
        <f>SUM(H5:H8)</f>
        <v>0</v>
      </c>
      <c r="I9" s="7">
        <f>SUM(I5:I8)</f>
        <v>0</v>
      </c>
      <c r="J9" s="7">
        <f>SUM(J5:J8)</f>
        <v>0</v>
      </c>
      <c r="K9" s="7">
        <f>SUM(K5:K8)</f>
        <v>0</v>
      </c>
      <c r="L9" s="7">
        <f>SUM(L5:L8)</f>
        <v>0</v>
      </c>
      <c r="M9" s="7">
        <f>SUM(M5:M8)</f>
        <v>0</v>
      </c>
    </row>
    <row r="11" spans="1:13">
      <c r="A11" s="4" t="s">
        <v>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2" t="s">
        <v>49</v>
      </c>
      <c r="B12" s="8">
        <v>79</v>
      </c>
    </row>
    <row r="13" spans="1:13">
      <c r="A13" s="2" t="s">
        <v>50</v>
      </c>
      <c r="B13" s="9">
        <v>0.012</v>
      </c>
    </row>
    <row r="14" spans="1:13">
      <c r="A14" s="2" t="s">
        <v>51</v>
      </c>
      <c r="B14" s="9">
        <v>0.004</v>
      </c>
    </row>
    <row r="16" spans="1:13">
      <c r="A16" s="4" t="s">
        <v>52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2" t="s">
        <v>53</v>
      </c>
      <c r="B17" s="9">
        <v>0.04</v>
      </c>
      <c r="D17" s="3" t="s">
        <v>55</v>
      </c>
    </row>
    <row r="18" spans="1:13">
      <c r="A18" s="2" t="s">
        <v>54</v>
      </c>
      <c r="B18" s="10">
        <v>0.97</v>
      </c>
    </row>
    <row r="19" spans="1:13">
      <c r="A19" s="2" t="s">
        <v>56</v>
      </c>
      <c r="B19" s="9">
        <v>0.01</v>
      </c>
    </row>
    <row r="20" spans="1:13">
      <c r="A20" s="2" t="s">
        <v>57</v>
      </c>
      <c r="B20" s="9">
        <v>0.03</v>
      </c>
    </row>
    <row r="22" spans="1:13">
      <c r="A22" s="4" t="s">
        <v>58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2" t="s">
        <v>59</v>
      </c>
      <c r="B23" s="9">
        <v>0.35</v>
      </c>
    </row>
    <row r="24" spans="1:13">
      <c r="A24" s="2" t="s">
        <v>60</v>
      </c>
      <c r="B24" s="9">
        <v>0.3</v>
      </c>
    </row>
    <row r="25" spans="1:13">
      <c r="A25" s="2" t="s">
        <v>61</v>
      </c>
      <c r="B25" s="9">
        <v>0.25</v>
      </c>
    </row>
    <row r="26" spans="1:13">
      <c r="A26" s="2" t="s">
        <v>62</v>
      </c>
      <c r="B26" s="9">
        <v>0.1</v>
      </c>
    </row>
    <row r="27" spans="1:13">
      <c r="A27" s="2" t="s">
        <v>63</v>
      </c>
      <c r="B27" s="9">
        <v>0.005</v>
      </c>
    </row>
    <row r="28" spans="1:13">
      <c r="A28" s="2" t="s">
        <v>64</v>
      </c>
      <c r="B28" s="9">
        <v>0.008</v>
      </c>
    </row>
    <row r="29" spans="1:13">
      <c r="A29" s="2" t="s">
        <v>65</v>
      </c>
      <c r="B29" s="9">
        <v>0.006</v>
      </c>
    </row>
    <row r="30" spans="1:13">
      <c r="A30" s="2" t="s">
        <v>66</v>
      </c>
      <c r="B30" s="9">
        <v>0.001</v>
      </c>
    </row>
    <row r="31" spans="1:13">
      <c r="A31" s="2" t="s">
        <v>67</v>
      </c>
      <c r="B31" s="9">
        <v>0.4</v>
      </c>
      <c r="D31" s="3" t="s">
        <v>68</v>
      </c>
    </row>
    <row r="33" spans="1:13">
      <c r="A33" s="4" t="s">
        <v>69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2" t="s">
        <v>70</v>
      </c>
      <c r="B34" s="11" t="s">
        <v>71</v>
      </c>
    </row>
    <row r="35" spans="1:13">
      <c r="A35" s="2" t="s">
        <v>72</v>
      </c>
      <c r="B35" s="10">
        <v>3800</v>
      </c>
    </row>
  </sheetData>
  <mergeCells count="6">
    <mergeCell ref="A1:M1"/>
    <mergeCell ref="A3:M3"/>
    <mergeCell ref="A11:M11"/>
    <mergeCell ref="A16:M16"/>
    <mergeCell ref="A22:M22"/>
    <mergeCell ref="A33:M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7"/>
  <sheetViews>
    <sheetView workbookViewId="0"/>
  </sheetViews>
  <sheetFormatPr defaultRowHeight="15"/>
  <cols>
    <col min="1" max="1" width="14.7109375" customWidth="1"/>
    <col min="2" max="40" width="7.7109375" customWidth="1"/>
  </cols>
  <sheetData>
    <row r="1" spans="1:38" ht="26" customHeight="1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3" spans="1:38">
      <c r="A3" s="12" t="s">
        <v>74</v>
      </c>
    </row>
    <row r="5" spans="1:38">
      <c r="A5" s="5" t="s">
        <v>75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  <c r="K5" s="5" t="s">
        <v>85</v>
      </c>
      <c r="L5" s="5" t="s">
        <v>40</v>
      </c>
      <c r="M5" s="5" t="s">
        <v>41</v>
      </c>
      <c r="N5" s="5" t="s">
        <v>42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 t="s">
        <v>93</v>
      </c>
      <c r="W5" s="5" t="s">
        <v>94</v>
      </c>
      <c r="X5" s="5" t="s">
        <v>95</v>
      </c>
      <c r="Y5" s="5" t="s">
        <v>96</v>
      </c>
      <c r="Z5" s="5" t="s">
        <v>97</v>
      </c>
      <c r="AA5" s="5" t="s">
        <v>98</v>
      </c>
      <c r="AB5" s="5" t="s">
        <v>99</v>
      </c>
      <c r="AC5" s="5" t="s">
        <v>100</v>
      </c>
      <c r="AD5" s="5" t="s">
        <v>101</v>
      </c>
      <c r="AE5" s="5" t="s">
        <v>102</v>
      </c>
      <c r="AF5" s="5" t="s">
        <v>103</v>
      </c>
      <c r="AG5" s="5" t="s">
        <v>104</v>
      </c>
      <c r="AH5" s="5" t="s">
        <v>105</v>
      </c>
      <c r="AI5" s="5" t="s">
        <v>106</v>
      </c>
      <c r="AJ5" s="5" t="s">
        <v>107</v>
      </c>
      <c r="AK5" s="5" t="s">
        <v>108</v>
      </c>
      <c r="AL5" s="5" t="s">
        <v>109</v>
      </c>
    </row>
    <row r="6" spans="1:38">
      <c r="A6" s="2" t="s">
        <v>110</v>
      </c>
      <c r="B6" s="13">
        <v>1</v>
      </c>
      <c r="C6" s="13">
        <f>B6*(1-MAX(Churn_Floor, Base_Logo_Churn*Decay_Factor^0))</f>
        <v>0</v>
      </c>
      <c r="D6" s="13">
        <f>C6*(1-MAX(Churn_Floor, Base_Logo_Churn*Decay_Factor^1))</f>
        <v>0</v>
      </c>
      <c r="E6" s="13">
        <f>D6*(1-MAX(Churn_Floor, Base_Logo_Churn*Decay_Factor^2))</f>
        <v>0</v>
      </c>
      <c r="F6" s="13">
        <f>E6*(1-MAX(Churn_Floor, Base_Logo_Churn*Decay_Factor^3))</f>
        <v>0</v>
      </c>
      <c r="G6" s="13">
        <f>F6*(1-MAX(Churn_Floor, Base_Logo_Churn*Decay_Factor^4))</f>
        <v>0</v>
      </c>
      <c r="H6" s="13">
        <f>G6*(1-MAX(Churn_Floor, Base_Logo_Churn*Decay_Factor^5))</f>
        <v>0</v>
      </c>
      <c r="I6" s="13">
        <f>H6*(1-MAX(Churn_Floor, Base_Logo_Churn*Decay_Factor^6))</f>
        <v>0</v>
      </c>
      <c r="J6" s="13">
        <f>I6*(1-MAX(Churn_Floor, Base_Logo_Churn*Decay_Factor^7))</f>
        <v>0</v>
      </c>
      <c r="K6" s="13">
        <f>J6*(1-MAX(Churn_Floor, Base_Logo_Churn*Decay_Factor^8))</f>
        <v>0</v>
      </c>
      <c r="L6" s="13">
        <f>K6*(1-MAX(Churn_Floor, Base_Logo_Churn*Decay_Factor^9))</f>
        <v>0</v>
      </c>
      <c r="M6" s="13">
        <f>L6*(1-MAX(Churn_Floor, Base_Logo_Churn*Decay_Factor^10))</f>
        <v>0</v>
      </c>
      <c r="N6" s="13">
        <f>M6*(1-MAX(Churn_Floor, Base_Logo_Churn*Decay_Factor^11))</f>
        <v>0</v>
      </c>
      <c r="O6" s="13">
        <f>N6*(1-MAX(Churn_Floor, Base_Logo_Churn*Decay_Factor^12))</f>
        <v>0</v>
      </c>
      <c r="P6" s="13">
        <f>O6*(1-MAX(Churn_Floor, Base_Logo_Churn*Decay_Factor^13))</f>
        <v>0</v>
      </c>
      <c r="Q6" s="13">
        <f>P6*(1-MAX(Churn_Floor, Base_Logo_Churn*Decay_Factor^14))</f>
        <v>0</v>
      </c>
      <c r="R6" s="13">
        <f>Q6*(1-MAX(Churn_Floor, Base_Logo_Churn*Decay_Factor^15))</f>
        <v>0</v>
      </c>
      <c r="S6" s="13">
        <f>R6*(1-MAX(Churn_Floor, Base_Logo_Churn*Decay_Factor^16))</f>
        <v>0</v>
      </c>
      <c r="T6" s="13">
        <f>S6*(1-MAX(Churn_Floor, Base_Logo_Churn*Decay_Factor^17))</f>
        <v>0</v>
      </c>
      <c r="U6" s="13">
        <f>T6*(1-MAX(Churn_Floor, Base_Logo_Churn*Decay_Factor^18))</f>
        <v>0</v>
      </c>
      <c r="V6" s="13">
        <f>U6*(1-MAX(Churn_Floor, Base_Logo_Churn*Decay_Factor^19))</f>
        <v>0</v>
      </c>
      <c r="W6" s="13">
        <f>V6*(1-MAX(Churn_Floor, Base_Logo_Churn*Decay_Factor^20))</f>
        <v>0</v>
      </c>
      <c r="X6" s="13">
        <f>W6*(1-MAX(Churn_Floor, Base_Logo_Churn*Decay_Factor^21))</f>
        <v>0</v>
      </c>
      <c r="Y6" s="13">
        <f>X6*(1-MAX(Churn_Floor, Base_Logo_Churn*Decay_Factor^22))</f>
        <v>0</v>
      </c>
      <c r="Z6" s="13">
        <f>Y6*(1-MAX(Churn_Floor, Base_Logo_Churn*Decay_Factor^23))</f>
        <v>0</v>
      </c>
      <c r="AA6" s="13">
        <f>Z6*(1-MAX(Churn_Floor, Base_Logo_Churn*Decay_Factor^24))</f>
        <v>0</v>
      </c>
      <c r="AB6" s="13">
        <f>AA6*(1-MAX(Churn_Floor, Base_Logo_Churn*Decay_Factor^25))</f>
        <v>0</v>
      </c>
      <c r="AC6" s="13">
        <f>AB6*(1-MAX(Churn_Floor, Base_Logo_Churn*Decay_Factor^26))</f>
        <v>0</v>
      </c>
      <c r="AD6" s="13">
        <f>AC6*(1-MAX(Churn_Floor, Base_Logo_Churn*Decay_Factor^27))</f>
        <v>0</v>
      </c>
      <c r="AE6" s="13">
        <f>AD6*(1-MAX(Churn_Floor, Base_Logo_Churn*Decay_Factor^28))</f>
        <v>0</v>
      </c>
      <c r="AF6" s="13">
        <f>AE6*(1-MAX(Churn_Floor, Base_Logo_Churn*Decay_Factor^29))</f>
        <v>0</v>
      </c>
      <c r="AG6" s="13">
        <f>AF6*(1-MAX(Churn_Floor, Base_Logo_Churn*Decay_Factor^30))</f>
        <v>0</v>
      </c>
      <c r="AH6" s="13">
        <f>AG6*(1-MAX(Churn_Floor, Base_Logo_Churn*Decay_Factor^31))</f>
        <v>0</v>
      </c>
      <c r="AI6" s="13">
        <f>AH6*(1-MAX(Churn_Floor, Base_Logo_Churn*Decay_Factor^32))</f>
        <v>0</v>
      </c>
      <c r="AJ6" s="13">
        <f>AI6*(1-MAX(Churn_Floor, Base_Logo_Churn*Decay_Factor^33))</f>
        <v>0</v>
      </c>
      <c r="AK6" s="13">
        <f>AJ6*(1-MAX(Churn_Floor, Base_Logo_Churn*Decay_Factor^34))</f>
        <v>0</v>
      </c>
      <c r="AL6" s="13">
        <f>AK6*(1-MAX(Churn_Floor, Base_Logo_Churn*Decay_Factor^35))</f>
        <v>0</v>
      </c>
    </row>
    <row r="7" spans="1:38">
      <c r="A7" s="2" t="s">
        <v>111</v>
      </c>
      <c r="B7" s="13">
        <v>1</v>
      </c>
      <c r="C7" s="13">
        <f>B7*(1-MAX(Churn_Floor, Base_Logo_Churn*Decay_Factor^0))</f>
        <v>0</v>
      </c>
      <c r="D7" s="13">
        <f>C7*(1-MAX(Churn_Floor, Base_Logo_Churn*Decay_Factor^1))</f>
        <v>0</v>
      </c>
      <c r="E7" s="13">
        <f>D7*(1-MAX(Churn_Floor, Base_Logo_Churn*Decay_Factor^2))</f>
        <v>0</v>
      </c>
      <c r="F7" s="13">
        <f>E7*(1-MAX(Churn_Floor, Base_Logo_Churn*Decay_Factor^3))</f>
        <v>0</v>
      </c>
      <c r="G7" s="13">
        <f>F7*(1-MAX(Churn_Floor, Base_Logo_Churn*Decay_Factor^4))</f>
        <v>0</v>
      </c>
      <c r="H7" s="13">
        <f>G7*(1-MAX(Churn_Floor, Base_Logo_Churn*Decay_Factor^5))</f>
        <v>0</v>
      </c>
      <c r="I7" s="13">
        <f>H7*(1-MAX(Churn_Floor, Base_Logo_Churn*Decay_Factor^6))</f>
        <v>0</v>
      </c>
      <c r="J7" s="13">
        <f>I7*(1-MAX(Churn_Floor, Base_Logo_Churn*Decay_Factor^7))</f>
        <v>0</v>
      </c>
      <c r="K7" s="13">
        <f>J7*(1-MAX(Churn_Floor, Base_Logo_Churn*Decay_Factor^8))</f>
        <v>0</v>
      </c>
      <c r="L7" s="13">
        <f>K7*(1-MAX(Churn_Floor, Base_Logo_Churn*Decay_Factor^9))</f>
        <v>0</v>
      </c>
      <c r="M7" s="13">
        <f>L7*(1-MAX(Churn_Floor, Base_Logo_Churn*Decay_Factor^10))</f>
        <v>0</v>
      </c>
      <c r="N7" s="13">
        <f>M7*(1-MAX(Churn_Floor, Base_Logo_Churn*Decay_Factor^11))</f>
        <v>0</v>
      </c>
      <c r="O7" s="13">
        <f>N7*(1-MAX(Churn_Floor, Base_Logo_Churn*Decay_Factor^12))</f>
        <v>0</v>
      </c>
      <c r="P7" s="13">
        <f>O7*(1-MAX(Churn_Floor, Base_Logo_Churn*Decay_Factor^13))</f>
        <v>0</v>
      </c>
      <c r="Q7" s="13">
        <f>P7*(1-MAX(Churn_Floor, Base_Logo_Churn*Decay_Factor^14))</f>
        <v>0</v>
      </c>
      <c r="R7" s="13">
        <f>Q7*(1-MAX(Churn_Floor, Base_Logo_Churn*Decay_Factor^15))</f>
        <v>0</v>
      </c>
      <c r="S7" s="13">
        <f>R7*(1-MAX(Churn_Floor, Base_Logo_Churn*Decay_Factor^16))</f>
        <v>0</v>
      </c>
      <c r="T7" s="13">
        <f>S7*(1-MAX(Churn_Floor, Base_Logo_Churn*Decay_Factor^17))</f>
        <v>0</v>
      </c>
      <c r="U7" s="13">
        <f>T7*(1-MAX(Churn_Floor, Base_Logo_Churn*Decay_Factor^18))</f>
        <v>0</v>
      </c>
      <c r="V7" s="13">
        <f>U7*(1-MAX(Churn_Floor, Base_Logo_Churn*Decay_Factor^19))</f>
        <v>0</v>
      </c>
      <c r="W7" s="13">
        <f>V7*(1-MAX(Churn_Floor, Base_Logo_Churn*Decay_Factor^20))</f>
        <v>0</v>
      </c>
      <c r="X7" s="13">
        <f>W7*(1-MAX(Churn_Floor, Base_Logo_Churn*Decay_Factor^21))</f>
        <v>0</v>
      </c>
      <c r="Y7" s="13">
        <f>X7*(1-MAX(Churn_Floor, Base_Logo_Churn*Decay_Factor^22))</f>
        <v>0</v>
      </c>
      <c r="Z7" s="13">
        <f>Y7*(1-MAX(Churn_Floor, Base_Logo_Churn*Decay_Factor^23))</f>
        <v>0</v>
      </c>
      <c r="AA7" s="13">
        <f>Z7*(1-MAX(Churn_Floor, Base_Logo_Churn*Decay_Factor^24))</f>
        <v>0</v>
      </c>
      <c r="AB7" s="13">
        <f>AA7*(1-MAX(Churn_Floor, Base_Logo_Churn*Decay_Factor^25))</f>
        <v>0</v>
      </c>
      <c r="AC7" s="13">
        <f>AB7*(1-MAX(Churn_Floor, Base_Logo_Churn*Decay_Factor^26))</f>
        <v>0</v>
      </c>
      <c r="AD7" s="13">
        <f>AC7*(1-MAX(Churn_Floor, Base_Logo_Churn*Decay_Factor^27))</f>
        <v>0</v>
      </c>
      <c r="AE7" s="13">
        <f>AD7*(1-MAX(Churn_Floor, Base_Logo_Churn*Decay_Factor^28))</f>
        <v>0</v>
      </c>
      <c r="AF7" s="13">
        <f>AE7*(1-MAX(Churn_Floor, Base_Logo_Churn*Decay_Factor^29))</f>
        <v>0</v>
      </c>
      <c r="AG7" s="13">
        <f>AF7*(1-MAX(Churn_Floor, Base_Logo_Churn*Decay_Factor^30))</f>
        <v>0</v>
      </c>
      <c r="AH7" s="13">
        <f>AG7*(1-MAX(Churn_Floor, Base_Logo_Churn*Decay_Factor^31))</f>
        <v>0</v>
      </c>
      <c r="AI7" s="13">
        <f>AH7*(1-MAX(Churn_Floor, Base_Logo_Churn*Decay_Factor^32))</f>
        <v>0</v>
      </c>
      <c r="AJ7" s="13">
        <f>AI7*(1-MAX(Churn_Floor, Base_Logo_Churn*Decay_Factor^33))</f>
        <v>0</v>
      </c>
      <c r="AK7" s="13">
        <f>AJ7*(1-MAX(Churn_Floor, Base_Logo_Churn*Decay_Factor^34))</f>
        <v>0</v>
      </c>
      <c r="AL7" s="13">
        <f>AK7*(1-MAX(Churn_Floor, Base_Logo_Churn*Decay_Factor^35))</f>
        <v>0</v>
      </c>
    </row>
    <row r="8" spans="1:38">
      <c r="A8" s="2" t="s">
        <v>112</v>
      </c>
      <c r="B8" s="13">
        <v>1</v>
      </c>
      <c r="C8" s="13">
        <f>B8*(1-MAX(Churn_Floor, Base_Logo_Churn*Decay_Factor^0))</f>
        <v>0</v>
      </c>
      <c r="D8" s="13">
        <f>C8*(1-MAX(Churn_Floor, Base_Logo_Churn*Decay_Factor^1))</f>
        <v>0</v>
      </c>
      <c r="E8" s="13">
        <f>D8*(1-MAX(Churn_Floor, Base_Logo_Churn*Decay_Factor^2))</f>
        <v>0</v>
      </c>
      <c r="F8" s="13">
        <f>E8*(1-MAX(Churn_Floor, Base_Logo_Churn*Decay_Factor^3))</f>
        <v>0</v>
      </c>
      <c r="G8" s="13">
        <f>F8*(1-MAX(Churn_Floor, Base_Logo_Churn*Decay_Factor^4))</f>
        <v>0</v>
      </c>
      <c r="H8" s="13">
        <f>G8*(1-MAX(Churn_Floor, Base_Logo_Churn*Decay_Factor^5))</f>
        <v>0</v>
      </c>
      <c r="I8" s="13">
        <f>H8*(1-MAX(Churn_Floor, Base_Logo_Churn*Decay_Factor^6))</f>
        <v>0</v>
      </c>
      <c r="J8" s="13">
        <f>I8*(1-MAX(Churn_Floor, Base_Logo_Churn*Decay_Factor^7))</f>
        <v>0</v>
      </c>
      <c r="K8" s="13">
        <f>J8*(1-MAX(Churn_Floor, Base_Logo_Churn*Decay_Factor^8))</f>
        <v>0</v>
      </c>
      <c r="L8" s="13">
        <f>K8*(1-MAX(Churn_Floor, Base_Logo_Churn*Decay_Factor^9))</f>
        <v>0</v>
      </c>
      <c r="M8" s="13">
        <f>L8*(1-MAX(Churn_Floor, Base_Logo_Churn*Decay_Factor^10))</f>
        <v>0</v>
      </c>
      <c r="N8" s="13">
        <f>M8*(1-MAX(Churn_Floor, Base_Logo_Churn*Decay_Factor^11))</f>
        <v>0</v>
      </c>
      <c r="O8" s="13">
        <f>N8*(1-MAX(Churn_Floor, Base_Logo_Churn*Decay_Factor^12))</f>
        <v>0</v>
      </c>
      <c r="P8" s="13">
        <f>O8*(1-MAX(Churn_Floor, Base_Logo_Churn*Decay_Factor^13))</f>
        <v>0</v>
      </c>
      <c r="Q8" s="13">
        <f>P8*(1-MAX(Churn_Floor, Base_Logo_Churn*Decay_Factor^14))</f>
        <v>0</v>
      </c>
      <c r="R8" s="13">
        <f>Q8*(1-MAX(Churn_Floor, Base_Logo_Churn*Decay_Factor^15))</f>
        <v>0</v>
      </c>
      <c r="S8" s="13">
        <f>R8*(1-MAX(Churn_Floor, Base_Logo_Churn*Decay_Factor^16))</f>
        <v>0</v>
      </c>
      <c r="T8" s="13">
        <f>S8*(1-MAX(Churn_Floor, Base_Logo_Churn*Decay_Factor^17))</f>
        <v>0</v>
      </c>
      <c r="U8" s="13">
        <f>T8*(1-MAX(Churn_Floor, Base_Logo_Churn*Decay_Factor^18))</f>
        <v>0</v>
      </c>
      <c r="V8" s="13">
        <f>U8*(1-MAX(Churn_Floor, Base_Logo_Churn*Decay_Factor^19))</f>
        <v>0</v>
      </c>
      <c r="W8" s="13">
        <f>V8*(1-MAX(Churn_Floor, Base_Logo_Churn*Decay_Factor^20))</f>
        <v>0</v>
      </c>
      <c r="X8" s="13">
        <f>W8*(1-MAX(Churn_Floor, Base_Logo_Churn*Decay_Factor^21))</f>
        <v>0</v>
      </c>
      <c r="Y8" s="13">
        <f>X8*(1-MAX(Churn_Floor, Base_Logo_Churn*Decay_Factor^22))</f>
        <v>0</v>
      </c>
      <c r="Z8" s="13">
        <f>Y8*(1-MAX(Churn_Floor, Base_Logo_Churn*Decay_Factor^23))</f>
        <v>0</v>
      </c>
      <c r="AA8" s="13">
        <f>Z8*(1-MAX(Churn_Floor, Base_Logo_Churn*Decay_Factor^24))</f>
        <v>0</v>
      </c>
      <c r="AB8" s="13">
        <f>AA8*(1-MAX(Churn_Floor, Base_Logo_Churn*Decay_Factor^25))</f>
        <v>0</v>
      </c>
      <c r="AC8" s="13">
        <f>AB8*(1-MAX(Churn_Floor, Base_Logo_Churn*Decay_Factor^26))</f>
        <v>0</v>
      </c>
      <c r="AD8" s="13">
        <f>AC8*(1-MAX(Churn_Floor, Base_Logo_Churn*Decay_Factor^27))</f>
        <v>0</v>
      </c>
      <c r="AE8" s="13">
        <f>AD8*(1-MAX(Churn_Floor, Base_Logo_Churn*Decay_Factor^28))</f>
        <v>0</v>
      </c>
      <c r="AF8" s="13">
        <f>AE8*(1-MAX(Churn_Floor, Base_Logo_Churn*Decay_Factor^29))</f>
        <v>0</v>
      </c>
      <c r="AG8" s="13">
        <f>AF8*(1-MAX(Churn_Floor, Base_Logo_Churn*Decay_Factor^30))</f>
        <v>0</v>
      </c>
      <c r="AH8" s="13">
        <f>AG8*(1-MAX(Churn_Floor, Base_Logo_Churn*Decay_Factor^31))</f>
        <v>0</v>
      </c>
      <c r="AI8" s="13">
        <f>AH8*(1-MAX(Churn_Floor, Base_Logo_Churn*Decay_Factor^32))</f>
        <v>0</v>
      </c>
      <c r="AJ8" s="13">
        <f>AI8*(1-MAX(Churn_Floor, Base_Logo_Churn*Decay_Factor^33))</f>
        <v>0</v>
      </c>
      <c r="AK8" s="13">
        <f>AJ8*(1-MAX(Churn_Floor, Base_Logo_Churn*Decay_Factor^34))</f>
        <v>0</v>
      </c>
      <c r="AL8" s="13">
        <f>AK8*(1-MAX(Churn_Floor, Base_Logo_Churn*Decay_Factor^35))</f>
        <v>0</v>
      </c>
    </row>
    <row r="9" spans="1:38">
      <c r="A9" s="2" t="s">
        <v>113</v>
      </c>
      <c r="B9" s="13">
        <v>1</v>
      </c>
      <c r="C9" s="13">
        <f>B9*(1-MAX(Churn_Floor, Base_Logo_Churn*Decay_Factor^0))</f>
        <v>0</v>
      </c>
      <c r="D9" s="13">
        <f>C9*(1-MAX(Churn_Floor, Base_Logo_Churn*Decay_Factor^1))</f>
        <v>0</v>
      </c>
      <c r="E9" s="13">
        <f>D9*(1-MAX(Churn_Floor, Base_Logo_Churn*Decay_Factor^2))</f>
        <v>0</v>
      </c>
      <c r="F9" s="13">
        <f>E9*(1-MAX(Churn_Floor, Base_Logo_Churn*Decay_Factor^3))</f>
        <v>0</v>
      </c>
      <c r="G9" s="13">
        <f>F9*(1-MAX(Churn_Floor, Base_Logo_Churn*Decay_Factor^4))</f>
        <v>0</v>
      </c>
      <c r="H9" s="13">
        <f>G9*(1-MAX(Churn_Floor, Base_Logo_Churn*Decay_Factor^5))</f>
        <v>0</v>
      </c>
      <c r="I9" s="13">
        <f>H9*(1-MAX(Churn_Floor, Base_Logo_Churn*Decay_Factor^6))</f>
        <v>0</v>
      </c>
      <c r="J9" s="13">
        <f>I9*(1-MAX(Churn_Floor, Base_Logo_Churn*Decay_Factor^7))</f>
        <v>0</v>
      </c>
      <c r="K9" s="13">
        <f>J9*(1-MAX(Churn_Floor, Base_Logo_Churn*Decay_Factor^8))</f>
        <v>0</v>
      </c>
      <c r="L9" s="13">
        <f>K9*(1-MAX(Churn_Floor, Base_Logo_Churn*Decay_Factor^9))</f>
        <v>0</v>
      </c>
      <c r="M9" s="13">
        <f>L9*(1-MAX(Churn_Floor, Base_Logo_Churn*Decay_Factor^10))</f>
        <v>0</v>
      </c>
      <c r="N9" s="13">
        <f>M9*(1-MAX(Churn_Floor, Base_Logo_Churn*Decay_Factor^11))</f>
        <v>0</v>
      </c>
      <c r="O9" s="13">
        <f>N9*(1-MAX(Churn_Floor, Base_Logo_Churn*Decay_Factor^12))</f>
        <v>0</v>
      </c>
      <c r="P9" s="13">
        <f>O9*(1-MAX(Churn_Floor, Base_Logo_Churn*Decay_Factor^13))</f>
        <v>0</v>
      </c>
      <c r="Q9" s="13">
        <f>P9*(1-MAX(Churn_Floor, Base_Logo_Churn*Decay_Factor^14))</f>
        <v>0</v>
      </c>
      <c r="R9" s="13">
        <f>Q9*(1-MAX(Churn_Floor, Base_Logo_Churn*Decay_Factor^15))</f>
        <v>0</v>
      </c>
      <c r="S9" s="13">
        <f>R9*(1-MAX(Churn_Floor, Base_Logo_Churn*Decay_Factor^16))</f>
        <v>0</v>
      </c>
      <c r="T9" s="13">
        <f>S9*(1-MAX(Churn_Floor, Base_Logo_Churn*Decay_Factor^17))</f>
        <v>0</v>
      </c>
      <c r="U9" s="13">
        <f>T9*(1-MAX(Churn_Floor, Base_Logo_Churn*Decay_Factor^18))</f>
        <v>0</v>
      </c>
      <c r="V9" s="13">
        <f>U9*(1-MAX(Churn_Floor, Base_Logo_Churn*Decay_Factor^19))</f>
        <v>0</v>
      </c>
      <c r="W9" s="13">
        <f>V9*(1-MAX(Churn_Floor, Base_Logo_Churn*Decay_Factor^20))</f>
        <v>0</v>
      </c>
      <c r="X9" s="13">
        <f>W9*(1-MAX(Churn_Floor, Base_Logo_Churn*Decay_Factor^21))</f>
        <v>0</v>
      </c>
      <c r="Y9" s="13">
        <f>X9*(1-MAX(Churn_Floor, Base_Logo_Churn*Decay_Factor^22))</f>
        <v>0</v>
      </c>
      <c r="Z9" s="13">
        <f>Y9*(1-MAX(Churn_Floor, Base_Logo_Churn*Decay_Factor^23))</f>
        <v>0</v>
      </c>
      <c r="AA9" s="13">
        <f>Z9*(1-MAX(Churn_Floor, Base_Logo_Churn*Decay_Factor^24))</f>
        <v>0</v>
      </c>
      <c r="AB9" s="13">
        <f>AA9*(1-MAX(Churn_Floor, Base_Logo_Churn*Decay_Factor^25))</f>
        <v>0</v>
      </c>
      <c r="AC9" s="13">
        <f>AB9*(1-MAX(Churn_Floor, Base_Logo_Churn*Decay_Factor^26))</f>
        <v>0</v>
      </c>
      <c r="AD9" s="13">
        <f>AC9*(1-MAX(Churn_Floor, Base_Logo_Churn*Decay_Factor^27))</f>
        <v>0</v>
      </c>
      <c r="AE9" s="13">
        <f>AD9*(1-MAX(Churn_Floor, Base_Logo_Churn*Decay_Factor^28))</f>
        <v>0</v>
      </c>
      <c r="AF9" s="13">
        <f>AE9*(1-MAX(Churn_Floor, Base_Logo_Churn*Decay_Factor^29))</f>
        <v>0</v>
      </c>
      <c r="AG9" s="13">
        <f>AF9*(1-MAX(Churn_Floor, Base_Logo_Churn*Decay_Factor^30))</f>
        <v>0</v>
      </c>
      <c r="AH9" s="13">
        <f>AG9*(1-MAX(Churn_Floor, Base_Logo_Churn*Decay_Factor^31))</f>
        <v>0</v>
      </c>
      <c r="AI9" s="13">
        <f>AH9*(1-MAX(Churn_Floor, Base_Logo_Churn*Decay_Factor^32))</f>
        <v>0</v>
      </c>
      <c r="AJ9" s="13">
        <f>AI9*(1-MAX(Churn_Floor, Base_Logo_Churn*Decay_Factor^33))</f>
        <v>0</v>
      </c>
      <c r="AK9" s="13">
        <f>AJ9*(1-MAX(Churn_Floor, Base_Logo_Churn*Decay_Factor^34))</f>
        <v>0</v>
      </c>
      <c r="AL9" s="13">
        <f>AK9*(1-MAX(Churn_Floor, Base_Logo_Churn*Decay_Factor^35))</f>
        <v>0</v>
      </c>
    </row>
    <row r="10" spans="1:38">
      <c r="A10" s="2" t="s">
        <v>114</v>
      </c>
      <c r="B10" s="13">
        <v>1</v>
      </c>
      <c r="C10" s="13">
        <f>B10*(1-MAX(Churn_Floor, Base_Logo_Churn*Decay_Factor^0))</f>
        <v>0</v>
      </c>
      <c r="D10" s="13">
        <f>C10*(1-MAX(Churn_Floor, Base_Logo_Churn*Decay_Factor^1))</f>
        <v>0</v>
      </c>
      <c r="E10" s="13">
        <f>D10*(1-MAX(Churn_Floor, Base_Logo_Churn*Decay_Factor^2))</f>
        <v>0</v>
      </c>
      <c r="F10" s="13">
        <f>E10*(1-MAX(Churn_Floor, Base_Logo_Churn*Decay_Factor^3))</f>
        <v>0</v>
      </c>
      <c r="G10" s="13">
        <f>F10*(1-MAX(Churn_Floor, Base_Logo_Churn*Decay_Factor^4))</f>
        <v>0</v>
      </c>
      <c r="H10" s="13">
        <f>G10*(1-MAX(Churn_Floor, Base_Logo_Churn*Decay_Factor^5))</f>
        <v>0</v>
      </c>
      <c r="I10" s="13">
        <f>H10*(1-MAX(Churn_Floor, Base_Logo_Churn*Decay_Factor^6))</f>
        <v>0</v>
      </c>
      <c r="J10" s="13">
        <f>I10*(1-MAX(Churn_Floor, Base_Logo_Churn*Decay_Factor^7))</f>
        <v>0</v>
      </c>
      <c r="K10" s="13">
        <f>J10*(1-MAX(Churn_Floor, Base_Logo_Churn*Decay_Factor^8))</f>
        <v>0</v>
      </c>
      <c r="L10" s="13">
        <f>K10*(1-MAX(Churn_Floor, Base_Logo_Churn*Decay_Factor^9))</f>
        <v>0</v>
      </c>
      <c r="M10" s="13">
        <f>L10*(1-MAX(Churn_Floor, Base_Logo_Churn*Decay_Factor^10))</f>
        <v>0</v>
      </c>
      <c r="N10" s="13">
        <f>M10*(1-MAX(Churn_Floor, Base_Logo_Churn*Decay_Factor^11))</f>
        <v>0</v>
      </c>
      <c r="O10" s="13">
        <f>N10*(1-MAX(Churn_Floor, Base_Logo_Churn*Decay_Factor^12))</f>
        <v>0</v>
      </c>
      <c r="P10" s="13">
        <f>O10*(1-MAX(Churn_Floor, Base_Logo_Churn*Decay_Factor^13))</f>
        <v>0</v>
      </c>
      <c r="Q10" s="13">
        <f>P10*(1-MAX(Churn_Floor, Base_Logo_Churn*Decay_Factor^14))</f>
        <v>0</v>
      </c>
      <c r="R10" s="13">
        <f>Q10*(1-MAX(Churn_Floor, Base_Logo_Churn*Decay_Factor^15))</f>
        <v>0</v>
      </c>
      <c r="S10" s="13">
        <f>R10*(1-MAX(Churn_Floor, Base_Logo_Churn*Decay_Factor^16))</f>
        <v>0</v>
      </c>
      <c r="T10" s="13">
        <f>S10*(1-MAX(Churn_Floor, Base_Logo_Churn*Decay_Factor^17))</f>
        <v>0</v>
      </c>
      <c r="U10" s="13">
        <f>T10*(1-MAX(Churn_Floor, Base_Logo_Churn*Decay_Factor^18))</f>
        <v>0</v>
      </c>
      <c r="V10" s="13">
        <f>U10*(1-MAX(Churn_Floor, Base_Logo_Churn*Decay_Factor^19))</f>
        <v>0</v>
      </c>
      <c r="W10" s="13">
        <f>V10*(1-MAX(Churn_Floor, Base_Logo_Churn*Decay_Factor^20))</f>
        <v>0</v>
      </c>
      <c r="X10" s="13">
        <f>W10*(1-MAX(Churn_Floor, Base_Logo_Churn*Decay_Factor^21))</f>
        <v>0</v>
      </c>
      <c r="Y10" s="13">
        <f>X10*(1-MAX(Churn_Floor, Base_Logo_Churn*Decay_Factor^22))</f>
        <v>0</v>
      </c>
      <c r="Z10" s="13">
        <f>Y10*(1-MAX(Churn_Floor, Base_Logo_Churn*Decay_Factor^23))</f>
        <v>0</v>
      </c>
      <c r="AA10" s="13">
        <f>Z10*(1-MAX(Churn_Floor, Base_Logo_Churn*Decay_Factor^24))</f>
        <v>0</v>
      </c>
      <c r="AB10" s="13">
        <f>AA10*(1-MAX(Churn_Floor, Base_Logo_Churn*Decay_Factor^25))</f>
        <v>0</v>
      </c>
      <c r="AC10" s="13">
        <f>AB10*(1-MAX(Churn_Floor, Base_Logo_Churn*Decay_Factor^26))</f>
        <v>0</v>
      </c>
      <c r="AD10" s="13">
        <f>AC10*(1-MAX(Churn_Floor, Base_Logo_Churn*Decay_Factor^27))</f>
        <v>0</v>
      </c>
      <c r="AE10" s="13">
        <f>AD10*(1-MAX(Churn_Floor, Base_Logo_Churn*Decay_Factor^28))</f>
        <v>0</v>
      </c>
      <c r="AF10" s="13">
        <f>AE10*(1-MAX(Churn_Floor, Base_Logo_Churn*Decay_Factor^29))</f>
        <v>0</v>
      </c>
      <c r="AG10" s="13">
        <f>AF10*(1-MAX(Churn_Floor, Base_Logo_Churn*Decay_Factor^30))</f>
        <v>0</v>
      </c>
      <c r="AH10" s="13">
        <f>AG10*(1-MAX(Churn_Floor, Base_Logo_Churn*Decay_Factor^31))</f>
        <v>0</v>
      </c>
      <c r="AI10" s="13">
        <f>AH10*(1-MAX(Churn_Floor, Base_Logo_Churn*Decay_Factor^32))</f>
        <v>0</v>
      </c>
      <c r="AJ10" s="13">
        <f>AI10*(1-MAX(Churn_Floor, Base_Logo_Churn*Decay_Factor^33))</f>
        <v>0</v>
      </c>
      <c r="AK10" s="13">
        <f>AJ10*(1-MAX(Churn_Floor, Base_Logo_Churn*Decay_Factor^34))</f>
        <v>0</v>
      </c>
      <c r="AL10" s="13">
        <f>AK10*(1-MAX(Churn_Floor, Base_Logo_Churn*Decay_Factor^35))</f>
        <v>0</v>
      </c>
    </row>
    <row r="11" spans="1:38">
      <c r="A11" s="2" t="s">
        <v>115</v>
      </c>
      <c r="B11" s="13">
        <v>1</v>
      </c>
      <c r="C11" s="13">
        <f>B11*(1-MAX(Churn_Floor, Base_Logo_Churn*Decay_Factor^0))</f>
        <v>0</v>
      </c>
      <c r="D11" s="13">
        <f>C11*(1-MAX(Churn_Floor, Base_Logo_Churn*Decay_Factor^1))</f>
        <v>0</v>
      </c>
      <c r="E11" s="13">
        <f>D11*(1-MAX(Churn_Floor, Base_Logo_Churn*Decay_Factor^2))</f>
        <v>0</v>
      </c>
      <c r="F11" s="13">
        <f>E11*(1-MAX(Churn_Floor, Base_Logo_Churn*Decay_Factor^3))</f>
        <v>0</v>
      </c>
      <c r="G11" s="13">
        <f>F11*(1-MAX(Churn_Floor, Base_Logo_Churn*Decay_Factor^4))</f>
        <v>0</v>
      </c>
      <c r="H11" s="13">
        <f>G11*(1-MAX(Churn_Floor, Base_Logo_Churn*Decay_Factor^5))</f>
        <v>0</v>
      </c>
      <c r="I11" s="13">
        <f>H11*(1-MAX(Churn_Floor, Base_Logo_Churn*Decay_Factor^6))</f>
        <v>0</v>
      </c>
      <c r="J11" s="13">
        <f>I11*(1-MAX(Churn_Floor, Base_Logo_Churn*Decay_Factor^7))</f>
        <v>0</v>
      </c>
      <c r="K11" s="13">
        <f>J11*(1-MAX(Churn_Floor, Base_Logo_Churn*Decay_Factor^8))</f>
        <v>0</v>
      </c>
      <c r="L11" s="13">
        <f>K11*(1-MAX(Churn_Floor, Base_Logo_Churn*Decay_Factor^9))</f>
        <v>0</v>
      </c>
      <c r="M11" s="13">
        <f>L11*(1-MAX(Churn_Floor, Base_Logo_Churn*Decay_Factor^10))</f>
        <v>0</v>
      </c>
      <c r="N11" s="13">
        <f>M11*(1-MAX(Churn_Floor, Base_Logo_Churn*Decay_Factor^11))</f>
        <v>0</v>
      </c>
      <c r="O11" s="13">
        <f>N11*(1-MAX(Churn_Floor, Base_Logo_Churn*Decay_Factor^12))</f>
        <v>0</v>
      </c>
      <c r="P11" s="13">
        <f>O11*(1-MAX(Churn_Floor, Base_Logo_Churn*Decay_Factor^13))</f>
        <v>0</v>
      </c>
      <c r="Q11" s="13">
        <f>P11*(1-MAX(Churn_Floor, Base_Logo_Churn*Decay_Factor^14))</f>
        <v>0</v>
      </c>
      <c r="R11" s="13">
        <f>Q11*(1-MAX(Churn_Floor, Base_Logo_Churn*Decay_Factor^15))</f>
        <v>0</v>
      </c>
      <c r="S11" s="13">
        <f>R11*(1-MAX(Churn_Floor, Base_Logo_Churn*Decay_Factor^16))</f>
        <v>0</v>
      </c>
      <c r="T11" s="13">
        <f>S11*(1-MAX(Churn_Floor, Base_Logo_Churn*Decay_Factor^17))</f>
        <v>0</v>
      </c>
      <c r="U11" s="13">
        <f>T11*(1-MAX(Churn_Floor, Base_Logo_Churn*Decay_Factor^18))</f>
        <v>0</v>
      </c>
      <c r="V11" s="13">
        <f>U11*(1-MAX(Churn_Floor, Base_Logo_Churn*Decay_Factor^19))</f>
        <v>0</v>
      </c>
      <c r="W11" s="13">
        <f>V11*(1-MAX(Churn_Floor, Base_Logo_Churn*Decay_Factor^20))</f>
        <v>0</v>
      </c>
      <c r="X11" s="13">
        <f>W11*(1-MAX(Churn_Floor, Base_Logo_Churn*Decay_Factor^21))</f>
        <v>0</v>
      </c>
      <c r="Y11" s="13">
        <f>X11*(1-MAX(Churn_Floor, Base_Logo_Churn*Decay_Factor^22))</f>
        <v>0</v>
      </c>
      <c r="Z11" s="13">
        <f>Y11*(1-MAX(Churn_Floor, Base_Logo_Churn*Decay_Factor^23))</f>
        <v>0</v>
      </c>
      <c r="AA11" s="13">
        <f>Z11*(1-MAX(Churn_Floor, Base_Logo_Churn*Decay_Factor^24))</f>
        <v>0</v>
      </c>
      <c r="AB11" s="13">
        <f>AA11*(1-MAX(Churn_Floor, Base_Logo_Churn*Decay_Factor^25))</f>
        <v>0</v>
      </c>
      <c r="AC11" s="13">
        <f>AB11*(1-MAX(Churn_Floor, Base_Logo_Churn*Decay_Factor^26))</f>
        <v>0</v>
      </c>
      <c r="AD11" s="13">
        <f>AC11*(1-MAX(Churn_Floor, Base_Logo_Churn*Decay_Factor^27))</f>
        <v>0</v>
      </c>
      <c r="AE11" s="13">
        <f>AD11*(1-MAX(Churn_Floor, Base_Logo_Churn*Decay_Factor^28))</f>
        <v>0</v>
      </c>
      <c r="AF11" s="13">
        <f>AE11*(1-MAX(Churn_Floor, Base_Logo_Churn*Decay_Factor^29))</f>
        <v>0</v>
      </c>
      <c r="AG11" s="13">
        <f>AF11*(1-MAX(Churn_Floor, Base_Logo_Churn*Decay_Factor^30))</f>
        <v>0</v>
      </c>
      <c r="AH11" s="13">
        <f>AG11*(1-MAX(Churn_Floor, Base_Logo_Churn*Decay_Factor^31))</f>
        <v>0</v>
      </c>
      <c r="AI11" s="13">
        <f>AH11*(1-MAX(Churn_Floor, Base_Logo_Churn*Decay_Factor^32))</f>
        <v>0</v>
      </c>
      <c r="AJ11" s="13">
        <f>AI11*(1-MAX(Churn_Floor, Base_Logo_Churn*Decay_Factor^33))</f>
        <v>0</v>
      </c>
      <c r="AK11" s="13">
        <f>AJ11*(1-MAX(Churn_Floor, Base_Logo_Churn*Decay_Factor^34))</f>
        <v>0</v>
      </c>
      <c r="AL11" s="13">
        <f>AK11*(1-MAX(Churn_Floor, Base_Logo_Churn*Decay_Factor^35))</f>
        <v>0</v>
      </c>
    </row>
    <row r="12" spans="1:38">
      <c r="A12" s="2" t="s">
        <v>116</v>
      </c>
      <c r="B12" s="13">
        <v>1</v>
      </c>
      <c r="C12" s="13">
        <f>B12*(1-MAX(Churn_Floor, Base_Logo_Churn*Decay_Factor^0))</f>
        <v>0</v>
      </c>
      <c r="D12" s="13">
        <f>C12*(1-MAX(Churn_Floor, Base_Logo_Churn*Decay_Factor^1))</f>
        <v>0</v>
      </c>
      <c r="E12" s="13">
        <f>D12*(1-MAX(Churn_Floor, Base_Logo_Churn*Decay_Factor^2))</f>
        <v>0</v>
      </c>
      <c r="F12" s="13">
        <f>E12*(1-MAX(Churn_Floor, Base_Logo_Churn*Decay_Factor^3))</f>
        <v>0</v>
      </c>
      <c r="G12" s="13">
        <f>F12*(1-MAX(Churn_Floor, Base_Logo_Churn*Decay_Factor^4))</f>
        <v>0</v>
      </c>
      <c r="H12" s="13">
        <f>G12*(1-MAX(Churn_Floor, Base_Logo_Churn*Decay_Factor^5))</f>
        <v>0</v>
      </c>
      <c r="I12" s="13">
        <f>H12*(1-MAX(Churn_Floor, Base_Logo_Churn*Decay_Factor^6))</f>
        <v>0</v>
      </c>
      <c r="J12" s="13">
        <f>I12*(1-MAX(Churn_Floor, Base_Logo_Churn*Decay_Factor^7))</f>
        <v>0</v>
      </c>
      <c r="K12" s="13">
        <f>J12*(1-MAX(Churn_Floor, Base_Logo_Churn*Decay_Factor^8))</f>
        <v>0</v>
      </c>
      <c r="L12" s="13">
        <f>K12*(1-MAX(Churn_Floor, Base_Logo_Churn*Decay_Factor^9))</f>
        <v>0</v>
      </c>
      <c r="M12" s="13">
        <f>L12*(1-MAX(Churn_Floor, Base_Logo_Churn*Decay_Factor^10))</f>
        <v>0</v>
      </c>
      <c r="N12" s="13">
        <f>M12*(1-MAX(Churn_Floor, Base_Logo_Churn*Decay_Factor^11))</f>
        <v>0</v>
      </c>
      <c r="O12" s="13">
        <f>N12*(1-MAX(Churn_Floor, Base_Logo_Churn*Decay_Factor^12))</f>
        <v>0</v>
      </c>
      <c r="P12" s="13">
        <f>O12*(1-MAX(Churn_Floor, Base_Logo_Churn*Decay_Factor^13))</f>
        <v>0</v>
      </c>
      <c r="Q12" s="13">
        <f>P12*(1-MAX(Churn_Floor, Base_Logo_Churn*Decay_Factor^14))</f>
        <v>0</v>
      </c>
      <c r="R12" s="13">
        <f>Q12*(1-MAX(Churn_Floor, Base_Logo_Churn*Decay_Factor^15))</f>
        <v>0</v>
      </c>
      <c r="S12" s="13">
        <f>R12*(1-MAX(Churn_Floor, Base_Logo_Churn*Decay_Factor^16))</f>
        <v>0</v>
      </c>
      <c r="T12" s="13">
        <f>S12*(1-MAX(Churn_Floor, Base_Logo_Churn*Decay_Factor^17))</f>
        <v>0</v>
      </c>
      <c r="U12" s="13">
        <f>T12*(1-MAX(Churn_Floor, Base_Logo_Churn*Decay_Factor^18))</f>
        <v>0</v>
      </c>
      <c r="V12" s="13">
        <f>U12*(1-MAX(Churn_Floor, Base_Logo_Churn*Decay_Factor^19))</f>
        <v>0</v>
      </c>
      <c r="W12" s="13">
        <f>V12*(1-MAX(Churn_Floor, Base_Logo_Churn*Decay_Factor^20))</f>
        <v>0</v>
      </c>
      <c r="X12" s="13">
        <f>W12*(1-MAX(Churn_Floor, Base_Logo_Churn*Decay_Factor^21))</f>
        <v>0</v>
      </c>
      <c r="Y12" s="13">
        <f>X12*(1-MAX(Churn_Floor, Base_Logo_Churn*Decay_Factor^22))</f>
        <v>0</v>
      </c>
      <c r="Z12" s="13">
        <f>Y12*(1-MAX(Churn_Floor, Base_Logo_Churn*Decay_Factor^23))</f>
        <v>0</v>
      </c>
      <c r="AA12" s="13">
        <f>Z12*(1-MAX(Churn_Floor, Base_Logo_Churn*Decay_Factor^24))</f>
        <v>0</v>
      </c>
      <c r="AB12" s="13">
        <f>AA12*(1-MAX(Churn_Floor, Base_Logo_Churn*Decay_Factor^25))</f>
        <v>0</v>
      </c>
      <c r="AC12" s="13">
        <f>AB12*(1-MAX(Churn_Floor, Base_Logo_Churn*Decay_Factor^26))</f>
        <v>0</v>
      </c>
      <c r="AD12" s="13">
        <f>AC12*(1-MAX(Churn_Floor, Base_Logo_Churn*Decay_Factor^27))</f>
        <v>0</v>
      </c>
      <c r="AE12" s="13">
        <f>AD12*(1-MAX(Churn_Floor, Base_Logo_Churn*Decay_Factor^28))</f>
        <v>0</v>
      </c>
      <c r="AF12" s="13">
        <f>AE12*(1-MAX(Churn_Floor, Base_Logo_Churn*Decay_Factor^29))</f>
        <v>0</v>
      </c>
      <c r="AG12" s="13">
        <f>AF12*(1-MAX(Churn_Floor, Base_Logo_Churn*Decay_Factor^30))</f>
        <v>0</v>
      </c>
      <c r="AH12" s="13">
        <f>AG12*(1-MAX(Churn_Floor, Base_Logo_Churn*Decay_Factor^31))</f>
        <v>0</v>
      </c>
      <c r="AI12" s="13">
        <f>AH12*(1-MAX(Churn_Floor, Base_Logo_Churn*Decay_Factor^32))</f>
        <v>0</v>
      </c>
      <c r="AJ12" s="13">
        <f>AI12*(1-MAX(Churn_Floor, Base_Logo_Churn*Decay_Factor^33))</f>
        <v>0</v>
      </c>
      <c r="AK12" s="13">
        <f>AJ12*(1-MAX(Churn_Floor, Base_Logo_Churn*Decay_Factor^34))</f>
        <v>0</v>
      </c>
      <c r="AL12" s="13">
        <f>AK12*(1-MAX(Churn_Floor, Base_Logo_Churn*Decay_Factor^35))</f>
        <v>0</v>
      </c>
    </row>
    <row r="13" spans="1:38">
      <c r="A13" s="2" t="s">
        <v>117</v>
      </c>
      <c r="B13" s="13">
        <v>1</v>
      </c>
      <c r="C13" s="13">
        <f>B13*(1-MAX(Churn_Floor, Base_Logo_Churn*Decay_Factor^0))</f>
        <v>0</v>
      </c>
      <c r="D13" s="13">
        <f>C13*(1-MAX(Churn_Floor, Base_Logo_Churn*Decay_Factor^1))</f>
        <v>0</v>
      </c>
      <c r="E13" s="13">
        <f>D13*(1-MAX(Churn_Floor, Base_Logo_Churn*Decay_Factor^2))</f>
        <v>0</v>
      </c>
      <c r="F13" s="13">
        <f>E13*(1-MAX(Churn_Floor, Base_Logo_Churn*Decay_Factor^3))</f>
        <v>0</v>
      </c>
      <c r="G13" s="13">
        <f>F13*(1-MAX(Churn_Floor, Base_Logo_Churn*Decay_Factor^4))</f>
        <v>0</v>
      </c>
      <c r="H13" s="13">
        <f>G13*(1-MAX(Churn_Floor, Base_Logo_Churn*Decay_Factor^5))</f>
        <v>0</v>
      </c>
      <c r="I13" s="13">
        <f>H13*(1-MAX(Churn_Floor, Base_Logo_Churn*Decay_Factor^6))</f>
        <v>0</v>
      </c>
      <c r="J13" s="13">
        <f>I13*(1-MAX(Churn_Floor, Base_Logo_Churn*Decay_Factor^7))</f>
        <v>0</v>
      </c>
      <c r="K13" s="13">
        <f>J13*(1-MAX(Churn_Floor, Base_Logo_Churn*Decay_Factor^8))</f>
        <v>0</v>
      </c>
      <c r="L13" s="13">
        <f>K13*(1-MAX(Churn_Floor, Base_Logo_Churn*Decay_Factor^9))</f>
        <v>0</v>
      </c>
      <c r="M13" s="13">
        <f>L13*(1-MAX(Churn_Floor, Base_Logo_Churn*Decay_Factor^10))</f>
        <v>0</v>
      </c>
      <c r="N13" s="13">
        <f>M13*(1-MAX(Churn_Floor, Base_Logo_Churn*Decay_Factor^11))</f>
        <v>0</v>
      </c>
      <c r="O13" s="13">
        <f>N13*(1-MAX(Churn_Floor, Base_Logo_Churn*Decay_Factor^12))</f>
        <v>0</v>
      </c>
      <c r="P13" s="13">
        <f>O13*(1-MAX(Churn_Floor, Base_Logo_Churn*Decay_Factor^13))</f>
        <v>0</v>
      </c>
      <c r="Q13" s="13">
        <f>P13*(1-MAX(Churn_Floor, Base_Logo_Churn*Decay_Factor^14))</f>
        <v>0</v>
      </c>
      <c r="R13" s="13">
        <f>Q13*(1-MAX(Churn_Floor, Base_Logo_Churn*Decay_Factor^15))</f>
        <v>0</v>
      </c>
      <c r="S13" s="13">
        <f>R13*(1-MAX(Churn_Floor, Base_Logo_Churn*Decay_Factor^16))</f>
        <v>0</v>
      </c>
      <c r="T13" s="13">
        <f>S13*(1-MAX(Churn_Floor, Base_Logo_Churn*Decay_Factor^17))</f>
        <v>0</v>
      </c>
      <c r="U13" s="13">
        <f>T13*(1-MAX(Churn_Floor, Base_Logo_Churn*Decay_Factor^18))</f>
        <v>0</v>
      </c>
      <c r="V13" s="13">
        <f>U13*(1-MAX(Churn_Floor, Base_Logo_Churn*Decay_Factor^19))</f>
        <v>0</v>
      </c>
      <c r="W13" s="13">
        <f>V13*(1-MAX(Churn_Floor, Base_Logo_Churn*Decay_Factor^20))</f>
        <v>0</v>
      </c>
      <c r="X13" s="13">
        <f>W13*(1-MAX(Churn_Floor, Base_Logo_Churn*Decay_Factor^21))</f>
        <v>0</v>
      </c>
      <c r="Y13" s="13">
        <f>X13*(1-MAX(Churn_Floor, Base_Logo_Churn*Decay_Factor^22))</f>
        <v>0</v>
      </c>
      <c r="Z13" s="13">
        <f>Y13*(1-MAX(Churn_Floor, Base_Logo_Churn*Decay_Factor^23))</f>
        <v>0</v>
      </c>
      <c r="AA13" s="13">
        <f>Z13*(1-MAX(Churn_Floor, Base_Logo_Churn*Decay_Factor^24))</f>
        <v>0</v>
      </c>
      <c r="AB13" s="13">
        <f>AA13*(1-MAX(Churn_Floor, Base_Logo_Churn*Decay_Factor^25))</f>
        <v>0</v>
      </c>
      <c r="AC13" s="13">
        <f>AB13*(1-MAX(Churn_Floor, Base_Logo_Churn*Decay_Factor^26))</f>
        <v>0</v>
      </c>
      <c r="AD13" s="13">
        <f>AC13*(1-MAX(Churn_Floor, Base_Logo_Churn*Decay_Factor^27))</f>
        <v>0</v>
      </c>
      <c r="AE13" s="13">
        <f>AD13*(1-MAX(Churn_Floor, Base_Logo_Churn*Decay_Factor^28))</f>
        <v>0</v>
      </c>
      <c r="AF13" s="13">
        <f>AE13*(1-MAX(Churn_Floor, Base_Logo_Churn*Decay_Factor^29))</f>
        <v>0</v>
      </c>
      <c r="AG13" s="13">
        <f>AF13*(1-MAX(Churn_Floor, Base_Logo_Churn*Decay_Factor^30))</f>
        <v>0</v>
      </c>
      <c r="AH13" s="13">
        <f>AG13*(1-MAX(Churn_Floor, Base_Logo_Churn*Decay_Factor^31))</f>
        <v>0</v>
      </c>
      <c r="AI13" s="13">
        <f>AH13*(1-MAX(Churn_Floor, Base_Logo_Churn*Decay_Factor^32))</f>
        <v>0</v>
      </c>
      <c r="AJ13" s="13">
        <f>AI13*(1-MAX(Churn_Floor, Base_Logo_Churn*Decay_Factor^33))</f>
        <v>0</v>
      </c>
      <c r="AK13" s="13">
        <f>AJ13*(1-MAX(Churn_Floor, Base_Logo_Churn*Decay_Factor^34))</f>
        <v>0</v>
      </c>
      <c r="AL13" s="13">
        <f>AK13*(1-MAX(Churn_Floor, Base_Logo_Churn*Decay_Factor^35))</f>
        <v>0</v>
      </c>
    </row>
    <row r="14" spans="1:38">
      <c r="A14" s="2" t="s">
        <v>118</v>
      </c>
      <c r="B14" s="13">
        <v>1</v>
      </c>
      <c r="C14" s="13">
        <f>B14*(1-MAX(Churn_Floor, Base_Logo_Churn*Decay_Factor^0))</f>
        <v>0</v>
      </c>
      <c r="D14" s="13">
        <f>C14*(1-MAX(Churn_Floor, Base_Logo_Churn*Decay_Factor^1))</f>
        <v>0</v>
      </c>
      <c r="E14" s="13">
        <f>D14*(1-MAX(Churn_Floor, Base_Logo_Churn*Decay_Factor^2))</f>
        <v>0</v>
      </c>
      <c r="F14" s="13">
        <f>E14*(1-MAX(Churn_Floor, Base_Logo_Churn*Decay_Factor^3))</f>
        <v>0</v>
      </c>
      <c r="G14" s="13">
        <f>F14*(1-MAX(Churn_Floor, Base_Logo_Churn*Decay_Factor^4))</f>
        <v>0</v>
      </c>
      <c r="H14" s="13">
        <f>G14*(1-MAX(Churn_Floor, Base_Logo_Churn*Decay_Factor^5))</f>
        <v>0</v>
      </c>
      <c r="I14" s="13">
        <f>H14*(1-MAX(Churn_Floor, Base_Logo_Churn*Decay_Factor^6))</f>
        <v>0</v>
      </c>
      <c r="J14" s="13">
        <f>I14*(1-MAX(Churn_Floor, Base_Logo_Churn*Decay_Factor^7))</f>
        <v>0</v>
      </c>
      <c r="K14" s="13">
        <f>J14*(1-MAX(Churn_Floor, Base_Logo_Churn*Decay_Factor^8))</f>
        <v>0</v>
      </c>
      <c r="L14" s="13">
        <f>K14*(1-MAX(Churn_Floor, Base_Logo_Churn*Decay_Factor^9))</f>
        <v>0</v>
      </c>
      <c r="M14" s="13">
        <f>L14*(1-MAX(Churn_Floor, Base_Logo_Churn*Decay_Factor^10))</f>
        <v>0</v>
      </c>
      <c r="N14" s="13">
        <f>M14*(1-MAX(Churn_Floor, Base_Logo_Churn*Decay_Factor^11))</f>
        <v>0</v>
      </c>
      <c r="O14" s="13">
        <f>N14*(1-MAX(Churn_Floor, Base_Logo_Churn*Decay_Factor^12))</f>
        <v>0</v>
      </c>
      <c r="P14" s="13">
        <f>O14*(1-MAX(Churn_Floor, Base_Logo_Churn*Decay_Factor^13))</f>
        <v>0</v>
      </c>
      <c r="Q14" s="13">
        <f>P14*(1-MAX(Churn_Floor, Base_Logo_Churn*Decay_Factor^14))</f>
        <v>0</v>
      </c>
      <c r="R14" s="13">
        <f>Q14*(1-MAX(Churn_Floor, Base_Logo_Churn*Decay_Factor^15))</f>
        <v>0</v>
      </c>
      <c r="S14" s="13">
        <f>R14*(1-MAX(Churn_Floor, Base_Logo_Churn*Decay_Factor^16))</f>
        <v>0</v>
      </c>
      <c r="T14" s="13">
        <f>S14*(1-MAX(Churn_Floor, Base_Logo_Churn*Decay_Factor^17))</f>
        <v>0</v>
      </c>
      <c r="U14" s="13">
        <f>T14*(1-MAX(Churn_Floor, Base_Logo_Churn*Decay_Factor^18))</f>
        <v>0</v>
      </c>
      <c r="V14" s="13">
        <f>U14*(1-MAX(Churn_Floor, Base_Logo_Churn*Decay_Factor^19))</f>
        <v>0</v>
      </c>
      <c r="W14" s="13">
        <f>V14*(1-MAX(Churn_Floor, Base_Logo_Churn*Decay_Factor^20))</f>
        <v>0</v>
      </c>
      <c r="X14" s="13">
        <f>W14*(1-MAX(Churn_Floor, Base_Logo_Churn*Decay_Factor^21))</f>
        <v>0</v>
      </c>
      <c r="Y14" s="13">
        <f>X14*(1-MAX(Churn_Floor, Base_Logo_Churn*Decay_Factor^22))</f>
        <v>0</v>
      </c>
      <c r="Z14" s="13">
        <f>Y14*(1-MAX(Churn_Floor, Base_Logo_Churn*Decay_Factor^23))</f>
        <v>0</v>
      </c>
      <c r="AA14" s="13">
        <f>Z14*(1-MAX(Churn_Floor, Base_Logo_Churn*Decay_Factor^24))</f>
        <v>0</v>
      </c>
      <c r="AB14" s="13">
        <f>AA14*(1-MAX(Churn_Floor, Base_Logo_Churn*Decay_Factor^25))</f>
        <v>0</v>
      </c>
      <c r="AC14" s="13">
        <f>AB14*(1-MAX(Churn_Floor, Base_Logo_Churn*Decay_Factor^26))</f>
        <v>0</v>
      </c>
      <c r="AD14" s="13">
        <f>AC14*(1-MAX(Churn_Floor, Base_Logo_Churn*Decay_Factor^27))</f>
        <v>0</v>
      </c>
      <c r="AE14" s="13">
        <f>AD14*(1-MAX(Churn_Floor, Base_Logo_Churn*Decay_Factor^28))</f>
        <v>0</v>
      </c>
      <c r="AF14" s="13">
        <f>AE14*(1-MAX(Churn_Floor, Base_Logo_Churn*Decay_Factor^29))</f>
        <v>0</v>
      </c>
      <c r="AG14" s="13">
        <f>AF14*(1-MAX(Churn_Floor, Base_Logo_Churn*Decay_Factor^30))</f>
        <v>0</v>
      </c>
      <c r="AH14" s="13">
        <f>AG14*(1-MAX(Churn_Floor, Base_Logo_Churn*Decay_Factor^31))</f>
        <v>0</v>
      </c>
      <c r="AI14" s="13">
        <f>AH14*(1-MAX(Churn_Floor, Base_Logo_Churn*Decay_Factor^32))</f>
        <v>0</v>
      </c>
      <c r="AJ14" s="13">
        <f>AI14*(1-MAX(Churn_Floor, Base_Logo_Churn*Decay_Factor^33))</f>
        <v>0</v>
      </c>
      <c r="AK14" s="13">
        <f>AJ14*(1-MAX(Churn_Floor, Base_Logo_Churn*Decay_Factor^34))</f>
        <v>0</v>
      </c>
      <c r="AL14" s="13">
        <f>AK14*(1-MAX(Churn_Floor, Base_Logo_Churn*Decay_Factor^35))</f>
        <v>0</v>
      </c>
    </row>
    <row r="15" spans="1:38">
      <c r="A15" s="2" t="s">
        <v>119</v>
      </c>
      <c r="B15" s="13">
        <v>1</v>
      </c>
      <c r="C15" s="13">
        <f>B15*(1-MAX(Churn_Floor, Base_Logo_Churn*Decay_Factor^0))</f>
        <v>0</v>
      </c>
      <c r="D15" s="13">
        <f>C15*(1-MAX(Churn_Floor, Base_Logo_Churn*Decay_Factor^1))</f>
        <v>0</v>
      </c>
      <c r="E15" s="13">
        <f>D15*(1-MAX(Churn_Floor, Base_Logo_Churn*Decay_Factor^2))</f>
        <v>0</v>
      </c>
      <c r="F15" s="13">
        <f>E15*(1-MAX(Churn_Floor, Base_Logo_Churn*Decay_Factor^3))</f>
        <v>0</v>
      </c>
      <c r="G15" s="13">
        <f>F15*(1-MAX(Churn_Floor, Base_Logo_Churn*Decay_Factor^4))</f>
        <v>0</v>
      </c>
      <c r="H15" s="13">
        <f>G15*(1-MAX(Churn_Floor, Base_Logo_Churn*Decay_Factor^5))</f>
        <v>0</v>
      </c>
      <c r="I15" s="13">
        <f>H15*(1-MAX(Churn_Floor, Base_Logo_Churn*Decay_Factor^6))</f>
        <v>0</v>
      </c>
      <c r="J15" s="13">
        <f>I15*(1-MAX(Churn_Floor, Base_Logo_Churn*Decay_Factor^7))</f>
        <v>0</v>
      </c>
      <c r="K15" s="13">
        <f>J15*(1-MAX(Churn_Floor, Base_Logo_Churn*Decay_Factor^8))</f>
        <v>0</v>
      </c>
      <c r="L15" s="13">
        <f>K15*(1-MAX(Churn_Floor, Base_Logo_Churn*Decay_Factor^9))</f>
        <v>0</v>
      </c>
      <c r="M15" s="13">
        <f>L15*(1-MAX(Churn_Floor, Base_Logo_Churn*Decay_Factor^10))</f>
        <v>0</v>
      </c>
      <c r="N15" s="13">
        <f>M15*(1-MAX(Churn_Floor, Base_Logo_Churn*Decay_Factor^11))</f>
        <v>0</v>
      </c>
      <c r="O15" s="13">
        <f>N15*(1-MAX(Churn_Floor, Base_Logo_Churn*Decay_Factor^12))</f>
        <v>0</v>
      </c>
      <c r="P15" s="13">
        <f>O15*(1-MAX(Churn_Floor, Base_Logo_Churn*Decay_Factor^13))</f>
        <v>0</v>
      </c>
      <c r="Q15" s="13">
        <f>P15*(1-MAX(Churn_Floor, Base_Logo_Churn*Decay_Factor^14))</f>
        <v>0</v>
      </c>
      <c r="R15" s="13">
        <f>Q15*(1-MAX(Churn_Floor, Base_Logo_Churn*Decay_Factor^15))</f>
        <v>0</v>
      </c>
      <c r="S15" s="13">
        <f>R15*(1-MAX(Churn_Floor, Base_Logo_Churn*Decay_Factor^16))</f>
        <v>0</v>
      </c>
      <c r="T15" s="13">
        <f>S15*(1-MAX(Churn_Floor, Base_Logo_Churn*Decay_Factor^17))</f>
        <v>0</v>
      </c>
      <c r="U15" s="13">
        <f>T15*(1-MAX(Churn_Floor, Base_Logo_Churn*Decay_Factor^18))</f>
        <v>0</v>
      </c>
      <c r="V15" s="13">
        <f>U15*(1-MAX(Churn_Floor, Base_Logo_Churn*Decay_Factor^19))</f>
        <v>0</v>
      </c>
      <c r="W15" s="13">
        <f>V15*(1-MAX(Churn_Floor, Base_Logo_Churn*Decay_Factor^20))</f>
        <v>0</v>
      </c>
      <c r="X15" s="13">
        <f>W15*(1-MAX(Churn_Floor, Base_Logo_Churn*Decay_Factor^21))</f>
        <v>0</v>
      </c>
      <c r="Y15" s="13">
        <f>X15*(1-MAX(Churn_Floor, Base_Logo_Churn*Decay_Factor^22))</f>
        <v>0</v>
      </c>
      <c r="Z15" s="13">
        <f>Y15*(1-MAX(Churn_Floor, Base_Logo_Churn*Decay_Factor^23))</f>
        <v>0</v>
      </c>
      <c r="AA15" s="13">
        <f>Z15*(1-MAX(Churn_Floor, Base_Logo_Churn*Decay_Factor^24))</f>
        <v>0</v>
      </c>
      <c r="AB15" s="13">
        <f>AA15*(1-MAX(Churn_Floor, Base_Logo_Churn*Decay_Factor^25))</f>
        <v>0</v>
      </c>
      <c r="AC15" s="13">
        <f>AB15*(1-MAX(Churn_Floor, Base_Logo_Churn*Decay_Factor^26))</f>
        <v>0</v>
      </c>
      <c r="AD15" s="13">
        <f>AC15*(1-MAX(Churn_Floor, Base_Logo_Churn*Decay_Factor^27))</f>
        <v>0</v>
      </c>
      <c r="AE15" s="13">
        <f>AD15*(1-MAX(Churn_Floor, Base_Logo_Churn*Decay_Factor^28))</f>
        <v>0</v>
      </c>
      <c r="AF15" s="13">
        <f>AE15*(1-MAX(Churn_Floor, Base_Logo_Churn*Decay_Factor^29))</f>
        <v>0</v>
      </c>
      <c r="AG15" s="13">
        <f>AF15*(1-MAX(Churn_Floor, Base_Logo_Churn*Decay_Factor^30))</f>
        <v>0</v>
      </c>
      <c r="AH15" s="13">
        <f>AG15*(1-MAX(Churn_Floor, Base_Logo_Churn*Decay_Factor^31))</f>
        <v>0</v>
      </c>
      <c r="AI15" s="13">
        <f>AH15*(1-MAX(Churn_Floor, Base_Logo_Churn*Decay_Factor^32))</f>
        <v>0</v>
      </c>
      <c r="AJ15" s="13">
        <f>AI15*(1-MAX(Churn_Floor, Base_Logo_Churn*Decay_Factor^33))</f>
        <v>0</v>
      </c>
      <c r="AK15" s="13">
        <f>AJ15*(1-MAX(Churn_Floor, Base_Logo_Churn*Decay_Factor^34))</f>
        <v>0</v>
      </c>
      <c r="AL15" s="13">
        <f>AK15*(1-MAX(Churn_Floor, Base_Logo_Churn*Decay_Factor^35))</f>
        <v>0</v>
      </c>
    </row>
    <row r="16" spans="1:38">
      <c r="A16" s="2" t="s">
        <v>120</v>
      </c>
      <c r="B16" s="13">
        <v>1</v>
      </c>
      <c r="C16" s="13">
        <f>B16*(1-MAX(Churn_Floor, Base_Logo_Churn*Decay_Factor^0))</f>
        <v>0</v>
      </c>
      <c r="D16" s="13">
        <f>C16*(1-MAX(Churn_Floor, Base_Logo_Churn*Decay_Factor^1))</f>
        <v>0</v>
      </c>
      <c r="E16" s="13">
        <f>D16*(1-MAX(Churn_Floor, Base_Logo_Churn*Decay_Factor^2))</f>
        <v>0</v>
      </c>
      <c r="F16" s="13">
        <f>E16*(1-MAX(Churn_Floor, Base_Logo_Churn*Decay_Factor^3))</f>
        <v>0</v>
      </c>
      <c r="G16" s="13">
        <f>F16*(1-MAX(Churn_Floor, Base_Logo_Churn*Decay_Factor^4))</f>
        <v>0</v>
      </c>
      <c r="H16" s="13">
        <f>G16*(1-MAX(Churn_Floor, Base_Logo_Churn*Decay_Factor^5))</f>
        <v>0</v>
      </c>
      <c r="I16" s="13">
        <f>H16*(1-MAX(Churn_Floor, Base_Logo_Churn*Decay_Factor^6))</f>
        <v>0</v>
      </c>
      <c r="J16" s="13">
        <f>I16*(1-MAX(Churn_Floor, Base_Logo_Churn*Decay_Factor^7))</f>
        <v>0</v>
      </c>
      <c r="K16" s="13">
        <f>J16*(1-MAX(Churn_Floor, Base_Logo_Churn*Decay_Factor^8))</f>
        <v>0</v>
      </c>
      <c r="L16" s="13">
        <f>K16*(1-MAX(Churn_Floor, Base_Logo_Churn*Decay_Factor^9))</f>
        <v>0</v>
      </c>
      <c r="M16" s="13">
        <f>L16*(1-MAX(Churn_Floor, Base_Logo_Churn*Decay_Factor^10))</f>
        <v>0</v>
      </c>
      <c r="N16" s="13">
        <f>M16*(1-MAX(Churn_Floor, Base_Logo_Churn*Decay_Factor^11))</f>
        <v>0</v>
      </c>
      <c r="O16" s="13">
        <f>N16*(1-MAX(Churn_Floor, Base_Logo_Churn*Decay_Factor^12))</f>
        <v>0</v>
      </c>
      <c r="P16" s="13">
        <f>O16*(1-MAX(Churn_Floor, Base_Logo_Churn*Decay_Factor^13))</f>
        <v>0</v>
      </c>
      <c r="Q16" s="13">
        <f>P16*(1-MAX(Churn_Floor, Base_Logo_Churn*Decay_Factor^14))</f>
        <v>0</v>
      </c>
      <c r="R16" s="13">
        <f>Q16*(1-MAX(Churn_Floor, Base_Logo_Churn*Decay_Factor^15))</f>
        <v>0</v>
      </c>
      <c r="S16" s="13">
        <f>R16*(1-MAX(Churn_Floor, Base_Logo_Churn*Decay_Factor^16))</f>
        <v>0</v>
      </c>
      <c r="T16" s="13">
        <f>S16*(1-MAX(Churn_Floor, Base_Logo_Churn*Decay_Factor^17))</f>
        <v>0</v>
      </c>
      <c r="U16" s="13">
        <f>T16*(1-MAX(Churn_Floor, Base_Logo_Churn*Decay_Factor^18))</f>
        <v>0</v>
      </c>
      <c r="V16" s="13">
        <f>U16*(1-MAX(Churn_Floor, Base_Logo_Churn*Decay_Factor^19))</f>
        <v>0</v>
      </c>
      <c r="W16" s="13">
        <f>V16*(1-MAX(Churn_Floor, Base_Logo_Churn*Decay_Factor^20))</f>
        <v>0</v>
      </c>
      <c r="X16" s="13">
        <f>W16*(1-MAX(Churn_Floor, Base_Logo_Churn*Decay_Factor^21))</f>
        <v>0</v>
      </c>
      <c r="Y16" s="13">
        <f>X16*(1-MAX(Churn_Floor, Base_Logo_Churn*Decay_Factor^22))</f>
        <v>0</v>
      </c>
      <c r="Z16" s="13">
        <f>Y16*(1-MAX(Churn_Floor, Base_Logo_Churn*Decay_Factor^23))</f>
        <v>0</v>
      </c>
      <c r="AA16" s="13">
        <f>Z16*(1-MAX(Churn_Floor, Base_Logo_Churn*Decay_Factor^24))</f>
        <v>0</v>
      </c>
      <c r="AB16" s="13">
        <f>AA16*(1-MAX(Churn_Floor, Base_Logo_Churn*Decay_Factor^25))</f>
        <v>0</v>
      </c>
      <c r="AC16" s="13">
        <f>AB16*(1-MAX(Churn_Floor, Base_Logo_Churn*Decay_Factor^26))</f>
        <v>0</v>
      </c>
      <c r="AD16" s="13">
        <f>AC16*(1-MAX(Churn_Floor, Base_Logo_Churn*Decay_Factor^27))</f>
        <v>0</v>
      </c>
      <c r="AE16" s="13">
        <f>AD16*(1-MAX(Churn_Floor, Base_Logo_Churn*Decay_Factor^28))</f>
        <v>0</v>
      </c>
      <c r="AF16" s="13">
        <f>AE16*(1-MAX(Churn_Floor, Base_Logo_Churn*Decay_Factor^29))</f>
        <v>0</v>
      </c>
      <c r="AG16" s="13">
        <f>AF16*(1-MAX(Churn_Floor, Base_Logo_Churn*Decay_Factor^30))</f>
        <v>0</v>
      </c>
      <c r="AH16" s="13">
        <f>AG16*(1-MAX(Churn_Floor, Base_Logo_Churn*Decay_Factor^31))</f>
        <v>0</v>
      </c>
      <c r="AI16" s="13">
        <f>AH16*(1-MAX(Churn_Floor, Base_Logo_Churn*Decay_Factor^32))</f>
        <v>0</v>
      </c>
      <c r="AJ16" s="13">
        <f>AI16*(1-MAX(Churn_Floor, Base_Logo_Churn*Decay_Factor^33))</f>
        <v>0</v>
      </c>
      <c r="AK16" s="13">
        <f>AJ16*(1-MAX(Churn_Floor, Base_Logo_Churn*Decay_Factor^34))</f>
        <v>0</v>
      </c>
      <c r="AL16" s="13">
        <f>AK16*(1-MAX(Churn_Floor, Base_Logo_Churn*Decay_Factor^35))</f>
        <v>0</v>
      </c>
    </row>
    <row r="17" spans="1:38">
      <c r="A17" s="2" t="s">
        <v>121</v>
      </c>
      <c r="B17" s="13">
        <v>1</v>
      </c>
      <c r="C17" s="13">
        <f>B17*(1-MAX(Churn_Floor, Base_Logo_Churn*Decay_Factor^0))</f>
        <v>0</v>
      </c>
      <c r="D17" s="13">
        <f>C17*(1-MAX(Churn_Floor, Base_Logo_Churn*Decay_Factor^1))</f>
        <v>0</v>
      </c>
      <c r="E17" s="13">
        <f>D17*(1-MAX(Churn_Floor, Base_Logo_Churn*Decay_Factor^2))</f>
        <v>0</v>
      </c>
      <c r="F17" s="13">
        <f>E17*(1-MAX(Churn_Floor, Base_Logo_Churn*Decay_Factor^3))</f>
        <v>0</v>
      </c>
      <c r="G17" s="13">
        <f>F17*(1-MAX(Churn_Floor, Base_Logo_Churn*Decay_Factor^4))</f>
        <v>0</v>
      </c>
      <c r="H17" s="13">
        <f>G17*(1-MAX(Churn_Floor, Base_Logo_Churn*Decay_Factor^5))</f>
        <v>0</v>
      </c>
      <c r="I17" s="13">
        <f>H17*(1-MAX(Churn_Floor, Base_Logo_Churn*Decay_Factor^6))</f>
        <v>0</v>
      </c>
      <c r="J17" s="13">
        <f>I17*(1-MAX(Churn_Floor, Base_Logo_Churn*Decay_Factor^7))</f>
        <v>0</v>
      </c>
      <c r="K17" s="13">
        <f>J17*(1-MAX(Churn_Floor, Base_Logo_Churn*Decay_Factor^8))</f>
        <v>0</v>
      </c>
      <c r="L17" s="13">
        <f>K17*(1-MAX(Churn_Floor, Base_Logo_Churn*Decay_Factor^9))</f>
        <v>0</v>
      </c>
      <c r="M17" s="13">
        <f>L17*(1-MAX(Churn_Floor, Base_Logo_Churn*Decay_Factor^10))</f>
        <v>0</v>
      </c>
      <c r="N17" s="13">
        <f>M17*(1-MAX(Churn_Floor, Base_Logo_Churn*Decay_Factor^11))</f>
        <v>0</v>
      </c>
      <c r="O17" s="13">
        <f>N17*(1-MAX(Churn_Floor, Base_Logo_Churn*Decay_Factor^12))</f>
        <v>0</v>
      </c>
      <c r="P17" s="13">
        <f>O17*(1-MAX(Churn_Floor, Base_Logo_Churn*Decay_Factor^13))</f>
        <v>0</v>
      </c>
      <c r="Q17" s="13">
        <f>P17*(1-MAX(Churn_Floor, Base_Logo_Churn*Decay_Factor^14))</f>
        <v>0</v>
      </c>
      <c r="R17" s="13">
        <f>Q17*(1-MAX(Churn_Floor, Base_Logo_Churn*Decay_Factor^15))</f>
        <v>0</v>
      </c>
      <c r="S17" s="13">
        <f>R17*(1-MAX(Churn_Floor, Base_Logo_Churn*Decay_Factor^16))</f>
        <v>0</v>
      </c>
      <c r="T17" s="13">
        <f>S17*(1-MAX(Churn_Floor, Base_Logo_Churn*Decay_Factor^17))</f>
        <v>0</v>
      </c>
      <c r="U17" s="13">
        <f>T17*(1-MAX(Churn_Floor, Base_Logo_Churn*Decay_Factor^18))</f>
        <v>0</v>
      </c>
      <c r="V17" s="13">
        <f>U17*(1-MAX(Churn_Floor, Base_Logo_Churn*Decay_Factor^19))</f>
        <v>0</v>
      </c>
      <c r="W17" s="13">
        <f>V17*(1-MAX(Churn_Floor, Base_Logo_Churn*Decay_Factor^20))</f>
        <v>0</v>
      </c>
      <c r="X17" s="13">
        <f>W17*(1-MAX(Churn_Floor, Base_Logo_Churn*Decay_Factor^21))</f>
        <v>0</v>
      </c>
      <c r="Y17" s="13">
        <f>X17*(1-MAX(Churn_Floor, Base_Logo_Churn*Decay_Factor^22))</f>
        <v>0</v>
      </c>
      <c r="Z17" s="13">
        <f>Y17*(1-MAX(Churn_Floor, Base_Logo_Churn*Decay_Factor^23))</f>
        <v>0</v>
      </c>
      <c r="AA17" s="13">
        <f>Z17*(1-MAX(Churn_Floor, Base_Logo_Churn*Decay_Factor^24))</f>
        <v>0</v>
      </c>
      <c r="AB17" s="13">
        <f>AA17*(1-MAX(Churn_Floor, Base_Logo_Churn*Decay_Factor^25))</f>
        <v>0</v>
      </c>
      <c r="AC17" s="13">
        <f>AB17*(1-MAX(Churn_Floor, Base_Logo_Churn*Decay_Factor^26))</f>
        <v>0</v>
      </c>
      <c r="AD17" s="13">
        <f>AC17*(1-MAX(Churn_Floor, Base_Logo_Churn*Decay_Factor^27))</f>
        <v>0</v>
      </c>
      <c r="AE17" s="13">
        <f>AD17*(1-MAX(Churn_Floor, Base_Logo_Churn*Decay_Factor^28))</f>
        <v>0</v>
      </c>
      <c r="AF17" s="13">
        <f>AE17*(1-MAX(Churn_Floor, Base_Logo_Churn*Decay_Factor^29))</f>
        <v>0</v>
      </c>
      <c r="AG17" s="13">
        <f>AF17*(1-MAX(Churn_Floor, Base_Logo_Churn*Decay_Factor^30))</f>
        <v>0</v>
      </c>
      <c r="AH17" s="13">
        <f>AG17*(1-MAX(Churn_Floor, Base_Logo_Churn*Decay_Factor^31))</f>
        <v>0</v>
      </c>
      <c r="AI17" s="13">
        <f>AH17*(1-MAX(Churn_Floor, Base_Logo_Churn*Decay_Factor^32))</f>
        <v>0</v>
      </c>
      <c r="AJ17" s="13">
        <f>AI17*(1-MAX(Churn_Floor, Base_Logo_Churn*Decay_Factor^33))</f>
        <v>0</v>
      </c>
      <c r="AK17" s="13">
        <f>AJ17*(1-MAX(Churn_Floor, Base_Logo_Churn*Decay_Factor^34))</f>
        <v>0</v>
      </c>
      <c r="AL17" s="13">
        <f>AK17*(1-MAX(Churn_Floor, Base_Logo_Churn*Decay_Factor^35))</f>
        <v>0</v>
      </c>
    </row>
  </sheetData>
  <mergeCells count="1">
    <mergeCell ref="A1:AK1"/>
  </mergeCells>
  <conditionalFormatting sqref="B6:AN17">
    <cfRule type="colorScale" priority="1">
      <colorScale>
        <cfvo type="num" val="0.2"/>
        <cfvo type="num" val="0.6"/>
        <cfvo type="num" val="1.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7"/>
  <sheetViews>
    <sheetView workbookViewId="0"/>
  </sheetViews>
  <sheetFormatPr defaultRowHeight="15"/>
  <cols>
    <col min="1" max="1" width="14.7109375" customWidth="1"/>
    <col min="2" max="40" width="7.7109375" customWidth="1"/>
  </cols>
  <sheetData>
    <row r="1" spans="1:38" ht="26" customHeight="1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3" spans="1:38">
      <c r="A3" s="12" t="s">
        <v>123</v>
      </c>
    </row>
    <row r="5" spans="1:38">
      <c r="A5" s="5" t="s">
        <v>75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  <c r="K5" s="5" t="s">
        <v>85</v>
      </c>
      <c r="L5" s="5" t="s">
        <v>40</v>
      </c>
      <c r="M5" s="5" t="s">
        <v>41</v>
      </c>
      <c r="N5" s="5" t="s">
        <v>42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 t="s">
        <v>93</v>
      </c>
      <c r="W5" s="5" t="s">
        <v>94</v>
      </c>
      <c r="X5" s="5" t="s">
        <v>95</v>
      </c>
      <c r="Y5" s="5" t="s">
        <v>96</v>
      </c>
      <c r="Z5" s="5" t="s">
        <v>97</v>
      </c>
      <c r="AA5" s="5" t="s">
        <v>98</v>
      </c>
      <c r="AB5" s="5" t="s">
        <v>99</v>
      </c>
      <c r="AC5" s="5" t="s">
        <v>100</v>
      </c>
      <c r="AD5" s="5" t="s">
        <v>101</v>
      </c>
      <c r="AE5" s="5" t="s">
        <v>102</v>
      </c>
      <c r="AF5" s="5" t="s">
        <v>103</v>
      </c>
      <c r="AG5" s="5" t="s">
        <v>104</v>
      </c>
      <c r="AH5" s="5" t="s">
        <v>105</v>
      </c>
      <c r="AI5" s="5" t="s">
        <v>106</v>
      </c>
      <c r="AJ5" s="5" t="s">
        <v>107</v>
      </c>
      <c r="AK5" s="5" t="s">
        <v>108</v>
      </c>
      <c r="AL5" s="5" t="s">
        <v>109</v>
      </c>
    </row>
    <row r="6" spans="1:38">
      <c r="A6" s="2" t="s">
        <v>110</v>
      </c>
      <c r="B6" s="13">
        <v>1</v>
      </c>
      <c r="C6" s="13">
        <f>'Logo-Cohort'!C6*(1+Expansion_C-Contraction_C)^1</f>
        <v>0</v>
      </c>
      <c r="D6" s="13">
        <f>'Logo-Cohort'!D6*(1+Expansion_C-Contraction_C)^2</f>
        <v>0</v>
      </c>
      <c r="E6" s="13">
        <f>'Logo-Cohort'!E6*(1+Expansion_C-Contraction_C)^3</f>
        <v>0</v>
      </c>
      <c r="F6" s="13">
        <f>'Logo-Cohort'!F6*(1+Expansion_C-Contraction_C)^4</f>
        <v>0</v>
      </c>
      <c r="G6" s="13">
        <f>'Logo-Cohort'!G6*(1+Expansion_C-Contraction_C)^5</f>
        <v>0</v>
      </c>
      <c r="H6" s="13">
        <f>'Logo-Cohort'!H6*(1+Expansion_C-Contraction_C)^6</f>
        <v>0</v>
      </c>
      <c r="I6" s="13">
        <f>'Logo-Cohort'!I6*(1+Expansion_C-Contraction_C)^7</f>
        <v>0</v>
      </c>
      <c r="J6" s="13">
        <f>'Logo-Cohort'!J6*(1+Expansion_C-Contraction_C)^8</f>
        <v>0</v>
      </c>
      <c r="K6" s="13">
        <f>'Logo-Cohort'!K6*(1+Expansion_C-Contraction_C)^9</f>
        <v>0</v>
      </c>
      <c r="L6" s="13">
        <f>'Logo-Cohort'!L6*(1+Expansion_C-Contraction_C)^10</f>
        <v>0</v>
      </c>
      <c r="M6" s="13">
        <f>'Logo-Cohort'!M6*(1+Expansion_C-Contraction_C)^11</f>
        <v>0</v>
      </c>
      <c r="N6" s="13">
        <f>'Logo-Cohort'!N6*(1+Expansion_C-Contraction_C)^12</f>
        <v>0</v>
      </c>
      <c r="O6" s="13">
        <f>'Logo-Cohort'!O6*(1+Expansion_C-Contraction_C)^13</f>
        <v>0</v>
      </c>
      <c r="P6" s="13">
        <f>'Logo-Cohort'!P6*(1+Expansion_C-Contraction_C)^14</f>
        <v>0</v>
      </c>
      <c r="Q6" s="13">
        <f>'Logo-Cohort'!Q6*(1+Expansion_C-Contraction_C)^15</f>
        <v>0</v>
      </c>
      <c r="R6" s="13">
        <f>'Logo-Cohort'!R6*(1+Expansion_C-Contraction_C)^16</f>
        <v>0</v>
      </c>
      <c r="S6" s="13">
        <f>'Logo-Cohort'!S6*(1+Expansion_C-Contraction_C)^17</f>
        <v>0</v>
      </c>
      <c r="T6" s="13">
        <f>'Logo-Cohort'!T6*(1+Expansion_C-Contraction_C)^18</f>
        <v>0</v>
      </c>
      <c r="U6" s="13">
        <f>'Logo-Cohort'!U6*(1+Expansion_C-Contraction_C)^19</f>
        <v>0</v>
      </c>
      <c r="V6" s="13">
        <f>'Logo-Cohort'!V6*(1+Expansion_C-Contraction_C)^20</f>
        <v>0</v>
      </c>
      <c r="W6" s="13">
        <f>'Logo-Cohort'!W6*(1+Expansion_C-Contraction_C)^21</f>
        <v>0</v>
      </c>
      <c r="X6" s="13">
        <f>'Logo-Cohort'!X6*(1+Expansion_C-Contraction_C)^22</f>
        <v>0</v>
      </c>
      <c r="Y6" s="13">
        <f>'Logo-Cohort'!Y6*(1+Expansion_C-Contraction_C)^23</f>
        <v>0</v>
      </c>
      <c r="Z6" s="13">
        <f>'Logo-Cohort'!Z6*(1+Expansion_C-Contraction_C)^24</f>
        <v>0</v>
      </c>
      <c r="AA6" s="13">
        <f>'Logo-Cohort'!AA6*(1+Expansion_C-Contraction_C)^25</f>
        <v>0</v>
      </c>
      <c r="AB6" s="13">
        <f>'Logo-Cohort'!AB6*(1+Expansion_C-Contraction_C)^26</f>
        <v>0</v>
      </c>
      <c r="AC6" s="13">
        <f>'Logo-Cohort'!AC6*(1+Expansion_C-Contraction_C)^27</f>
        <v>0</v>
      </c>
      <c r="AD6" s="13">
        <f>'Logo-Cohort'!AD6*(1+Expansion_C-Contraction_C)^28</f>
        <v>0</v>
      </c>
      <c r="AE6" s="13">
        <f>'Logo-Cohort'!AE6*(1+Expansion_C-Contraction_C)^29</f>
        <v>0</v>
      </c>
      <c r="AF6" s="13">
        <f>'Logo-Cohort'!AF6*(1+Expansion_C-Contraction_C)^30</f>
        <v>0</v>
      </c>
      <c r="AG6" s="13">
        <f>'Logo-Cohort'!AG6*(1+Expansion_C-Contraction_C)^31</f>
        <v>0</v>
      </c>
      <c r="AH6" s="13">
        <f>'Logo-Cohort'!AH6*(1+Expansion_C-Contraction_C)^32</f>
        <v>0</v>
      </c>
      <c r="AI6" s="13">
        <f>'Logo-Cohort'!AI6*(1+Expansion_C-Contraction_C)^33</f>
        <v>0</v>
      </c>
      <c r="AJ6" s="13">
        <f>'Logo-Cohort'!AJ6*(1+Expansion_C-Contraction_C)^34</f>
        <v>0</v>
      </c>
      <c r="AK6" s="13">
        <f>'Logo-Cohort'!AK6*(1+Expansion_C-Contraction_C)^35</f>
        <v>0</v>
      </c>
      <c r="AL6" s="13">
        <f>'Logo-Cohort'!AL6*(1+Expansion_C-Contraction_C)^36</f>
        <v>0</v>
      </c>
    </row>
    <row r="7" spans="1:38">
      <c r="A7" s="2" t="s">
        <v>111</v>
      </c>
      <c r="B7" s="13">
        <v>1</v>
      </c>
      <c r="C7" s="13">
        <f>'Logo-Cohort'!C7*(1+Expansion_C-Contraction_C)^1</f>
        <v>0</v>
      </c>
      <c r="D7" s="13">
        <f>'Logo-Cohort'!D7*(1+Expansion_C-Contraction_C)^2</f>
        <v>0</v>
      </c>
      <c r="E7" s="13">
        <f>'Logo-Cohort'!E7*(1+Expansion_C-Contraction_C)^3</f>
        <v>0</v>
      </c>
      <c r="F7" s="13">
        <f>'Logo-Cohort'!F7*(1+Expansion_C-Contraction_C)^4</f>
        <v>0</v>
      </c>
      <c r="G7" s="13">
        <f>'Logo-Cohort'!G7*(1+Expansion_C-Contraction_C)^5</f>
        <v>0</v>
      </c>
      <c r="H7" s="13">
        <f>'Logo-Cohort'!H7*(1+Expansion_C-Contraction_C)^6</f>
        <v>0</v>
      </c>
      <c r="I7" s="13">
        <f>'Logo-Cohort'!I7*(1+Expansion_C-Contraction_C)^7</f>
        <v>0</v>
      </c>
      <c r="J7" s="13">
        <f>'Logo-Cohort'!J7*(1+Expansion_C-Contraction_C)^8</f>
        <v>0</v>
      </c>
      <c r="K7" s="13">
        <f>'Logo-Cohort'!K7*(1+Expansion_C-Contraction_C)^9</f>
        <v>0</v>
      </c>
      <c r="L7" s="13">
        <f>'Logo-Cohort'!L7*(1+Expansion_C-Contraction_C)^10</f>
        <v>0</v>
      </c>
      <c r="M7" s="13">
        <f>'Logo-Cohort'!M7*(1+Expansion_C-Contraction_C)^11</f>
        <v>0</v>
      </c>
      <c r="N7" s="13">
        <f>'Logo-Cohort'!N7*(1+Expansion_C-Contraction_C)^12</f>
        <v>0</v>
      </c>
      <c r="O7" s="13">
        <f>'Logo-Cohort'!O7*(1+Expansion_C-Contraction_C)^13</f>
        <v>0</v>
      </c>
      <c r="P7" s="13">
        <f>'Logo-Cohort'!P7*(1+Expansion_C-Contraction_C)^14</f>
        <v>0</v>
      </c>
      <c r="Q7" s="13">
        <f>'Logo-Cohort'!Q7*(1+Expansion_C-Contraction_C)^15</f>
        <v>0</v>
      </c>
      <c r="R7" s="13">
        <f>'Logo-Cohort'!R7*(1+Expansion_C-Contraction_C)^16</f>
        <v>0</v>
      </c>
      <c r="S7" s="13">
        <f>'Logo-Cohort'!S7*(1+Expansion_C-Contraction_C)^17</f>
        <v>0</v>
      </c>
      <c r="T7" s="13">
        <f>'Logo-Cohort'!T7*(1+Expansion_C-Contraction_C)^18</f>
        <v>0</v>
      </c>
      <c r="U7" s="13">
        <f>'Logo-Cohort'!U7*(1+Expansion_C-Contraction_C)^19</f>
        <v>0</v>
      </c>
      <c r="V7" s="13">
        <f>'Logo-Cohort'!V7*(1+Expansion_C-Contraction_C)^20</f>
        <v>0</v>
      </c>
      <c r="W7" s="13">
        <f>'Logo-Cohort'!W7*(1+Expansion_C-Contraction_C)^21</f>
        <v>0</v>
      </c>
      <c r="X7" s="13">
        <f>'Logo-Cohort'!X7*(1+Expansion_C-Contraction_C)^22</f>
        <v>0</v>
      </c>
      <c r="Y7" s="13">
        <f>'Logo-Cohort'!Y7*(1+Expansion_C-Contraction_C)^23</f>
        <v>0</v>
      </c>
      <c r="Z7" s="13">
        <f>'Logo-Cohort'!Z7*(1+Expansion_C-Contraction_C)^24</f>
        <v>0</v>
      </c>
      <c r="AA7" s="13">
        <f>'Logo-Cohort'!AA7*(1+Expansion_C-Contraction_C)^25</f>
        <v>0</v>
      </c>
      <c r="AB7" s="13">
        <f>'Logo-Cohort'!AB7*(1+Expansion_C-Contraction_C)^26</f>
        <v>0</v>
      </c>
      <c r="AC7" s="13">
        <f>'Logo-Cohort'!AC7*(1+Expansion_C-Contraction_C)^27</f>
        <v>0</v>
      </c>
      <c r="AD7" s="13">
        <f>'Logo-Cohort'!AD7*(1+Expansion_C-Contraction_C)^28</f>
        <v>0</v>
      </c>
      <c r="AE7" s="13">
        <f>'Logo-Cohort'!AE7*(1+Expansion_C-Contraction_C)^29</f>
        <v>0</v>
      </c>
      <c r="AF7" s="13">
        <f>'Logo-Cohort'!AF7*(1+Expansion_C-Contraction_C)^30</f>
        <v>0</v>
      </c>
      <c r="AG7" s="13">
        <f>'Logo-Cohort'!AG7*(1+Expansion_C-Contraction_C)^31</f>
        <v>0</v>
      </c>
      <c r="AH7" s="13">
        <f>'Logo-Cohort'!AH7*(1+Expansion_C-Contraction_C)^32</f>
        <v>0</v>
      </c>
      <c r="AI7" s="13">
        <f>'Logo-Cohort'!AI7*(1+Expansion_C-Contraction_C)^33</f>
        <v>0</v>
      </c>
      <c r="AJ7" s="13">
        <f>'Logo-Cohort'!AJ7*(1+Expansion_C-Contraction_C)^34</f>
        <v>0</v>
      </c>
      <c r="AK7" s="13">
        <f>'Logo-Cohort'!AK7*(1+Expansion_C-Contraction_C)^35</f>
        <v>0</v>
      </c>
      <c r="AL7" s="13">
        <f>'Logo-Cohort'!AL7*(1+Expansion_C-Contraction_C)^36</f>
        <v>0</v>
      </c>
    </row>
    <row r="8" spans="1:38">
      <c r="A8" s="2" t="s">
        <v>112</v>
      </c>
      <c r="B8" s="13">
        <v>1</v>
      </c>
      <c r="C8" s="13">
        <f>'Logo-Cohort'!C8*(1+Expansion_C-Contraction_C)^1</f>
        <v>0</v>
      </c>
      <c r="D8" s="13">
        <f>'Logo-Cohort'!D8*(1+Expansion_C-Contraction_C)^2</f>
        <v>0</v>
      </c>
      <c r="E8" s="13">
        <f>'Logo-Cohort'!E8*(1+Expansion_C-Contraction_C)^3</f>
        <v>0</v>
      </c>
      <c r="F8" s="13">
        <f>'Logo-Cohort'!F8*(1+Expansion_C-Contraction_C)^4</f>
        <v>0</v>
      </c>
      <c r="G8" s="13">
        <f>'Logo-Cohort'!G8*(1+Expansion_C-Contraction_C)^5</f>
        <v>0</v>
      </c>
      <c r="H8" s="13">
        <f>'Logo-Cohort'!H8*(1+Expansion_C-Contraction_C)^6</f>
        <v>0</v>
      </c>
      <c r="I8" s="13">
        <f>'Logo-Cohort'!I8*(1+Expansion_C-Contraction_C)^7</f>
        <v>0</v>
      </c>
      <c r="J8" s="13">
        <f>'Logo-Cohort'!J8*(1+Expansion_C-Contraction_C)^8</f>
        <v>0</v>
      </c>
      <c r="K8" s="13">
        <f>'Logo-Cohort'!K8*(1+Expansion_C-Contraction_C)^9</f>
        <v>0</v>
      </c>
      <c r="L8" s="13">
        <f>'Logo-Cohort'!L8*(1+Expansion_C-Contraction_C)^10</f>
        <v>0</v>
      </c>
      <c r="M8" s="13">
        <f>'Logo-Cohort'!M8*(1+Expansion_C-Contraction_C)^11</f>
        <v>0</v>
      </c>
      <c r="N8" s="13">
        <f>'Logo-Cohort'!N8*(1+Expansion_C-Contraction_C)^12</f>
        <v>0</v>
      </c>
      <c r="O8" s="13">
        <f>'Logo-Cohort'!O8*(1+Expansion_C-Contraction_C)^13</f>
        <v>0</v>
      </c>
      <c r="P8" s="13">
        <f>'Logo-Cohort'!P8*(1+Expansion_C-Contraction_C)^14</f>
        <v>0</v>
      </c>
      <c r="Q8" s="13">
        <f>'Logo-Cohort'!Q8*(1+Expansion_C-Contraction_C)^15</f>
        <v>0</v>
      </c>
      <c r="R8" s="13">
        <f>'Logo-Cohort'!R8*(1+Expansion_C-Contraction_C)^16</f>
        <v>0</v>
      </c>
      <c r="S8" s="13">
        <f>'Logo-Cohort'!S8*(1+Expansion_C-Contraction_C)^17</f>
        <v>0</v>
      </c>
      <c r="T8" s="13">
        <f>'Logo-Cohort'!T8*(1+Expansion_C-Contraction_C)^18</f>
        <v>0</v>
      </c>
      <c r="U8" s="13">
        <f>'Logo-Cohort'!U8*(1+Expansion_C-Contraction_C)^19</f>
        <v>0</v>
      </c>
      <c r="V8" s="13">
        <f>'Logo-Cohort'!V8*(1+Expansion_C-Contraction_C)^20</f>
        <v>0</v>
      </c>
      <c r="W8" s="13">
        <f>'Logo-Cohort'!W8*(1+Expansion_C-Contraction_C)^21</f>
        <v>0</v>
      </c>
      <c r="X8" s="13">
        <f>'Logo-Cohort'!X8*(1+Expansion_C-Contraction_C)^22</f>
        <v>0</v>
      </c>
      <c r="Y8" s="13">
        <f>'Logo-Cohort'!Y8*(1+Expansion_C-Contraction_C)^23</f>
        <v>0</v>
      </c>
      <c r="Z8" s="13">
        <f>'Logo-Cohort'!Z8*(1+Expansion_C-Contraction_C)^24</f>
        <v>0</v>
      </c>
      <c r="AA8" s="13">
        <f>'Logo-Cohort'!AA8*(1+Expansion_C-Contraction_C)^25</f>
        <v>0</v>
      </c>
      <c r="AB8" s="13">
        <f>'Logo-Cohort'!AB8*(1+Expansion_C-Contraction_C)^26</f>
        <v>0</v>
      </c>
      <c r="AC8" s="13">
        <f>'Logo-Cohort'!AC8*(1+Expansion_C-Contraction_C)^27</f>
        <v>0</v>
      </c>
      <c r="AD8" s="13">
        <f>'Logo-Cohort'!AD8*(1+Expansion_C-Contraction_C)^28</f>
        <v>0</v>
      </c>
      <c r="AE8" s="13">
        <f>'Logo-Cohort'!AE8*(1+Expansion_C-Contraction_C)^29</f>
        <v>0</v>
      </c>
      <c r="AF8" s="13">
        <f>'Logo-Cohort'!AF8*(1+Expansion_C-Contraction_C)^30</f>
        <v>0</v>
      </c>
      <c r="AG8" s="13">
        <f>'Logo-Cohort'!AG8*(1+Expansion_C-Contraction_C)^31</f>
        <v>0</v>
      </c>
      <c r="AH8" s="13">
        <f>'Logo-Cohort'!AH8*(1+Expansion_C-Contraction_C)^32</f>
        <v>0</v>
      </c>
      <c r="AI8" s="13">
        <f>'Logo-Cohort'!AI8*(1+Expansion_C-Contraction_C)^33</f>
        <v>0</v>
      </c>
      <c r="AJ8" s="13">
        <f>'Logo-Cohort'!AJ8*(1+Expansion_C-Contraction_C)^34</f>
        <v>0</v>
      </c>
      <c r="AK8" s="13">
        <f>'Logo-Cohort'!AK8*(1+Expansion_C-Contraction_C)^35</f>
        <v>0</v>
      </c>
      <c r="AL8" s="13">
        <f>'Logo-Cohort'!AL8*(1+Expansion_C-Contraction_C)^36</f>
        <v>0</v>
      </c>
    </row>
    <row r="9" spans="1:38">
      <c r="A9" s="2" t="s">
        <v>113</v>
      </c>
      <c r="B9" s="13">
        <v>1</v>
      </c>
      <c r="C9" s="13">
        <f>'Logo-Cohort'!C9*(1+Expansion_C-Contraction_C)^1</f>
        <v>0</v>
      </c>
      <c r="D9" s="13">
        <f>'Logo-Cohort'!D9*(1+Expansion_C-Contraction_C)^2</f>
        <v>0</v>
      </c>
      <c r="E9" s="13">
        <f>'Logo-Cohort'!E9*(1+Expansion_C-Contraction_C)^3</f>
        <v>0</v>
      </c>
      <c r="F9" s="13">
        <f>'Logo-Cohort'!F9*(1+Expansion_C-Contraction_C)^4</f>
        <v>0</v>
      </c>
      <c r="G9" s="13">
        <f>'Logo-Cohort'!G9*(1+Expansion_C-Contraction_C)^5</f>
        <v>0</v>
      </c>
      <c r="H9" s="13">
        <f>'Logo-Cohort'!H9*(1+Expansion_C-Contraction_C)^6</f>
        <v>0</v>
      </c>
      <c r="I9" s="13">
        <f>'Logo-Cohort'!I9*(1+Expansion_C-Contraction_C)^7</f>
        <v>0</v>
      </c>
      <c r="J9" s="13">
        <f>'Logo-Cohort'!J9*(1+Expansion_C-Contraction_C)^8</f>
        <v>0</v>
      </c>
      <c r="K9" s="13">
        <f>'Logo-Cohort'!K9*(1+Expansion_C-Contraction_C)^9</f>
        <v>0</v>
      </c>
      <c r="L9" s="13">
        <f>'Logo-Cohort'!L9*(1+Expansion_C-Contraction_C)^10</f>
        <v>0</v>
      </c>
      <c r="M9" s="13">
        <f>'Logo-Cohort'!M9*(1+Expansion_C-Contraction_C)^11</f>
        <v>0</v>
      </c>
      <c r="N9" s="13">
        <f>'Logo-Cohort'!N9*(1+Expansion_C-Contraction_C)^12</f>
        <v>0</v>
      </c>
      <c r="O9" s="13">
        <f>'Logo-Cohort'!O9*(1+Expansion_C-Contraction_C)^13</f>
        <v>0</v>
      </c>
      <c r="P9" s="13">
        <f>'Logo-Cohort'!P9*(1+Expansion_C-Contraction_C)^14</f>
        <v>0</v>
      </c>
      <c r="Q9" s="13">
        <f>'Logo-Cohort'!Q9*(1+Expansion_C-Contraction_C)^15</f>
        <v>0</v>
      </c>
      <c r="R9" s="13">
        <f>'Logo-Cohort'!R9*(1+Expansion_C-Contraction_C)^16</f>
        <v>0</v>
      </c>
      <c r="S9" s="13">
        <f>'Logo-Cohort'!S9*(1+Expansion_C-Contraction_C)^17</f>
        <v>0</v>
      </c>
      <c r="T9" s="13">
        <f>'Logo-Cohort'!T9*(1+Expansion_C-Contraction_C)^18</f>
        <v>0</v>
      </c>
      <c r="U9" s="13">
        <f>'Logo-Cohort'!U9*(1+Expansion_C-Contraction_C)^19</f>
        <v>0</v>
      </c>
      <c r="V9" s="13">
        <f>'Logo-Cohort'!V9*(1+Expansion_C-Contraction_C)^20</f>
        <v>0</v>
      </c>
      <c r="W9" s="13">
        <f>'Logo-Cohort'!W9*(1+Expansion_C-Contraction_C)^21</f>
        <v>0</v>
      </c>
      <c r="X9" s="13">
        <f>'Logo-Cohort'!X9*(1+Expansion_C-Contraction_C)^22</f>
        <v>0</v>
      </c>
      <c r="Y9" s="13">
        <f>'Logo-Cohort'!Y9*(1+Expansion_C-Contraction_C)^23</f>
        <v>0</v>
      </c>
      <c r="Z9" s="13">
        <f>'Logo-Cohort'!Z9*(1+Expansion_C-Contraction_C)^24</f>
        <v>0</v>
      </c>
      <c r="AA9" s="13">
        <f>'Logo-Cohort'!AA9*(1+Expansion_C-Contraction_C)^25</f>
        <v>0</v>
      </c>
      <c r="AB9" s="13">
        <f>'Logo-Cohort'!AB9*(1+Expansion_C-Contraction_C)^26</f>
        <v>0</v>
      </c>
      <c r="AC9" s="13">
        <f>'Logo-Cohort'!AC9*(1+Expansion_C-Contraction_C)^27</f>
        <v>0</v>
      </c>
      <c r="AD9" s="13">
        <f>'Logo-Cohort'!AD9*(1+Expansion_C-Contraction_C)^28</f>
        <v>0</v>
      </c>
      <c r="AE9" s="13">
        <f>'Logo-Cohort'!AE9*(1+Expansion_C-Contraction_C)^29</f>
        <v>0</v>
      </c>
      <c r="AF9" s="13">
        <f>'Logo-Cohort'!AF9*(1+Expansion_C-Contraction_C)^30</f>
        <v>0</v>
      </c>
      <c r="AG9" s="13">
        <f>'Logo-Cohort'!AG9*(1+Expansion_C-Contraction_C)^31</f>
        <v>0</v>
      </c>
      <c r="AH9" s="13">
        <f>'Logo-Cohort'!AH9*(1+Expansion_C-Contraction_C)^32</f>
        <v>0</v>
      </c>
      <c r="AI9" s="13">
        <f>'Logo-Cohort'!AI9*(1+Expansion_C-Contraction_C)^33</f>
        <v>0</v>
      </c>
      <c r="AJ9" s="13">
        <f>'Logo-Cohort'!AJ9*(1+Expansion_C-Contraction_C)^34</f>
        <v>0</v>
      </c>
      <c r="AK9" s="13">
        <f>'Logo-Cohort'!AK9*(1+Expansion_C-Contraction_C)^35</f>
        <v>0</v>
      </c>
      <c r="AL9" s="13">
        <f>'Logo-Cohort'!AL9*(1+Expansion_C-Contraction_C)^36</f>
        <v>0</v>
      </c>
    </row>
    <row r="10" spans="1:38">
      <c r="A10" s="2" t="s">
        <v>114</v>
      </c>
      <c r="B10" s="13">
        <v>1</v>
      </c>
      <c r="C10" s="13">
        <f>'Logo-Cohort'!C10*(1+Expansion_C-Contraction_C)^1</f>
        <v>0</v>
      </c>
      <c r="D10" s="13">
        <f>'Logo-Cohort'!D10*(1+Expansion_C-Contraction_C)^2</f>
        <v>0</v>
      </c>
      <c r="E10" s="13">
        <f>'Logo-Cohort'!E10*(1+Expansion_C-Contraction_C)^3</f>
        <v>0</v>
      </c>
      <c r="F10" s="13">
        <f>'Logo-Cohort'!F10*(1+Expansion_C-Contraction_C)^4</f>
        <v>0</v>
      </c>
      <c r="G10" s="13">
        <f>'Logo-Cohort'!G10*(1+Expansion_C-Contraction_C)^5</f>
        <v>0</v>
      </c>
      <c r="H10" s="13">
        <f>'Logo-Cohort'!H10*(1+Expansion_C-Contraction_C)^6</f>
        <v>0</v>
      </c>
      <c r="I10" s="13">
        <f>'Logo-Cohort'!I10*(1+Expansion_C-Contraction_C)^7</f>
        <v>0</v>
      </c>
      <c r="J10" s="13">
        <f>'Logo-Cohort'!J10*(1+Expansion_C-Contraction_C)^8</f>
        <v>0</v>
      </c>
      <c r="K10" s="13">
        <f>'Logo-Cohort'!K10*(1+Expansion_C-Contraction_C)^9</f>
        <v>0</v>
      </c>
      <c r="L10" s="13">
        <f>'Logo-Cohort'!L10*(1+Expansion_C-Contraction_C)^10</f>
        <v>0</v>
      </c>
      <c r="M10" s="13">
        <f>'Logo-Cohort'!M10*(1+Expansion_C-Contraction_C)^11</f>
        <v>0</v>
      </c>
      <c r="N10" s="13">
        <f>'Logo-Cohort'!N10*(1+Expansion_C-Contraction_C)^12</f>
        <v>0</v>
      </c>
      <c r="O10" s="13">
        <f>'Logo-Cohort'!O10*(1+Expansion_C-Contraction_C)^13</f>
        <v>0</v>
      </c>
      <c r="P10" s="13">
        <f>'Logo-Cohort'!P10*(1+Expansion_C-Contraction_C)^14</f>
        <v>0</v>
      </c>
      <c r="Q10" s="13">
        <f>'Logo-Cohort'!Q10*(1+Expansion_C-Contraction_C)^15</f>
        <v>0</v>
      </c>
      <c r="R10" s="13">
        <f>'Logo-Cohort'!R10*(1+Expansion_C-Contraction_C)^16</f>
        <v>0</v>
      </c>
      <c r="S10" s="13">
        <f>'Logo-Cohort'!S10*(1+Expansion_C-Contraction_C)^17</f>
        <v>0</v>
      </c>
      <c r="T10" s="13">
        <f>'Logo-Cohort'!T10*(1+Expansion_C-Contraction_C)^18</f>
        <v>0</v>
      </c>
      <c r="U10" s="13">
        <f>'Logo-Cohort'!U10*(1+Expansion_C-Contraction_C)^19</f>
        <v>0</v>
      </c>
      <c r="V10" s="13">
        <f>'Logo-Cohort'!V10*(1+Expansion_C-Contraction_C)^20</f>
        <v>0</v>
      </c>
      <c r="W10" s="13">
        <f>'Logo-Cohort'!W10*(1+Expansion_C-Contraction_C)^21</f>
        <v>0</v>
      </c>
      <c r="X10" s="13">
        <f>'Logo-Cohort'!X10*(1+Expansion_C-Contraction_C)^22</f>
        <v>0</v>
      </c>
      <c r="Y10" s="13">
        <f>'Logo-Cohort'!Y10*(1+Expansion_C-Contraction_C)^23</f>
        <v>0</v>
      </c>
      <c r="Z10" s="13">
        <f>'Logo-Cohort'!Z10*(1+Expansion_C-Contraction_C)^24</f>
        <v>0</v>
      </c>
      <c r="AA10" s="13">
        <f>'Logo-Cohort'!AA10*(1+Expansion_C-Contraction_C)^25</f>
        <v>0</v>
      </c>
      <c r="AB10" s="13">
        <f>'Logo-Cohort'!AB10*(1+Expansion_C-Contraction_C)^26</f>
        <v>0</v>
      </c>
      <c r="AC10" s="13">
        <f>'Logo-Cohort'!AC10*(1+Expansion_C-Contraction_C)^27</f>
        <v>0</v>
      </c>
      <c r="AD10" s="13">
        <f>'Logo-Cohort'!AD10*(1+Expansion_C-Contraction_C)^28</f>
        <v>0</v>
      </c>
      <c r="AE10" s="13">
        <f>'Logo-Cohort'!AE10*(1+Expansion_C-Contraction_C)^29</f>
        <v>0</v>
      </c>
      <c r="AF10" s="13">
        <f>'Logo-Cohort'!AF10*(1+Expansion_C-Contraction_C)^30</f>
        <v>0</v>
      </c>
      <c r="AG10" s="13">
        <f>'Logo-Cohort'!AG10*(1+Expansion_C-Contraction_C)^31</f>
        <v>0</v>
      </c>
      <c r="AH10" s="13">
        <f>'Logo-Cohort'!AH10*(1+Expansion_C-Contraction_C)^32</f>
        <v>0</v>
      </c>
      <c r="AI10" s="13">
        <f>'Logo-Cohort'!AI10*(1+Expansion_C-Contraction_C)^33</f>
        <v>0</v>
      </c>
      <c r="AJ10" s="13">
        <f>'Logo-Cohort'!AJ10*(1+Expansion_C-Contraction_C)^34</f>
        <v>0</v>
      </c>
      <c r="AK10" s="13">
        <f>'Logo-Cohort'!AK10*(1+Expansion_C-Contraction_C)^35</f>
        <v>0</v>
      </c>
      <c r="AL10" s="13">
        <f>'Logo-Cohort'!AL10*(1+Expansion_C-Contraction_C)^36</f>
        <v>0</v>
      </c>
    </row>
    <row r="11" spans="1:38">
      <c r="A11" s="2" t="s">
        <v>115</v>
      </c>
      <c r="B11" s="13">
        <v>1</v>
      </c>
      <c r="C11" s="13">
        <f>'Logo-Cohort'!C11*(1+Expansion_C-Contraction_C)^1</f>
        <v>0</v>
      </c>
      <c r="D11" s="13">
        <f>'Logo-Cohort'!D11*(1+Expansion_C-Contraction_C)^2</f>
        <v>0</v>
      </c>
      <c r="E11" s="13">
        <f>'Logo-Cohort'!E11*(1+Expansion_C-Contraction_C)^3</f>
        <v>0</v>
      </c>
      <c r="F11" s="13">
        <f>'Logo-Cohort'!F11*(1+Expansion_C-Contraction_C)^4</f>
        <v>0</v>
      </c>
      <c r="G11" s="13">
        <f>'Logo-Cohort'!G11*(1+Expansion_C-Contraction_C)^5</f>
        <v>0</v>
      </c>
      <c r="H11" s="13">
        <f>'Logo-Cohort'!H11*(1+Expansion_C-Contraction_C)^6</f>
        <v>0</v>
      </c>
      <c r="I11" s="13">
        <f>'Logo-Cohort'!I11*(1+Expansion_C-Contraction_C)^7</f>
        <v>0</v>
      </c>
      <c r="J11" s="13">
        <f>'Logo-Cohort'!J11*(1+Expansion_C-Contraction_C)^8</f>
        <v>0</v>
      </c>
      <c r="K11" s="13">
        <f>'Logo-Cohort'!K11*(1+Expansion_C-Contraction_C)^9</f>
        <v>0</v>
      </c>
      <c r="L11" s="13">
        <f>'Logo-Cohort'!L11*(1+Expansion_C-Contraction_C)^10</f>
        <v>0</v>
      </c>
      <c r="M11" s="13">
        <f>'Logo-Cohort'!M11*(1+Expansion_C-Contraction_C)^11</f>
        <v>0</v>
      </c>
      <c r="N11" s="13">
        <f>'Logo-Cohort'!N11*(1+Expansion_C-Contraction_C)^12</f>
        <v>0</v>
      </c>
      <c r="O11" s="13">
        <f>'Logo-Cohort'!O11*(1+Expansion_C-Contraction_C)^13</f>
        <v>0</v>
      </c>
      <c r="P11" s="13">
        <f>'Logo-Cohort'!P11*(1+Expansion_C-Contraction_C)^14</f>
        <v>0</v>
      </c>
      <c r="Q11" s="13">
        <f>'Logo-Cohort'!Q11*(1+Expansion_C-Contraction_C)^15</f>
        <v>0</v>
      </c>
      <c r="R11" s="13">
        <f>'Logo-Cohort'!R11*(1+Expansion_C-Contraction_C)^16</f>
        <v>0</v>
      </c>
      <c r="S11" s="13">
        <f>'Logo-Cohort'!S11*(1+Expansion_C-Contraction_C)^17</f>
        <v>0</v>
      </c>
      <c r="T11" s="13">
        <f>'Logo-Cohort'!T11*(1+Expansion_C-Contraction_C)^18</f>
        <v>0</v>
      </c>
      <c r="U11" s="13">
        <f>'Logo-Cohort'!U11*(1+Expansion_C-Contraction_C)^19</f>
        <v>0</v>
      </c>
      <c r="V11" s="13">
        <f>'Logo-Cohort'!V11*(1+Expansion_C-Contraction_C)^20</f>
        <v>0</v>
      </c>
      <c r="W11" s="13">
        <f>'Logo-Cohort'!W11*(1+Expansion_C-Contraction_C)^21</f>
        <v>0</v>
      </c>
      <c r="X11" s="13">
        <f>'Logo-Cohort'!X11*(1+Expansion_C-Contraction_C)^22</f>
        <v>0</v>
      </c>
      <c r="Y11" s="13">
        <f>'Logo-Cohort'!Y11*(1+Expansion_C-Contraction_C)^23</f>
        <v>0</v>
      </c>
      <c r="Z11" s="13">
        <f>'Logo-Cohort'!Z11*(1+Expansion_C-Contraction_C)^24</f>
        <v>0</v>
      </c>
      <c r="AA11" s="13">
        <f>'Logo-Cohort'!AA11*(1+Expansion_C-Contraction_C)^25</f>
        <v>0</v>
      </c>
      <c r="AB11" s="13">
        <f>'Logo-Cohort'!AB11*(1+Expansion_C-Contraction_C)^26</f>
        <v>0</v>
      </c>
      <c r="AC11" s="13">
        <f>'Logo-Cohort'!AC11*(1+Expansion_C-Contraction_C)^27</f>
        <v>0</v>
      </c>
      <c r="AD11" s="13">
        <f>'Logo-Cohort'!AD11*(1+Expansion_C-Contraction_C)^28</f>
        <v>0</v>
      </c>
      <c r="AE11" s="13">
        <f>'Logo-Cohort'!AE11*(1+Expansion_C-Contraction_C)^29</f>
        <v>0</v>
      </c>
      <c r="AF11" s="13">
        <f>'Logo-Cohort'!AF11*(1+Expansion_C-Contraction_C)^30</f>
        <v>0</v>
      </c>
      <c r="AG11" s="13">
        <f>'Logo-Cohort'!AG11*(1+Expansion_C-Contraction_C)^31</f>
        <v>0</v>
      </c>
      <c r="AH11" s="13">
        <f>'Logo-Cohort'!AH11*(1+Expansion_C-Contraction_C)^32</f>
        <v>0</v>
      </c>
      <c r="AI11" s="13">
        <f>'Logo-Cohort'!AI11*(1+Expansion_C-Contraction_C)^33</f>
        <v>0</v>
      </c>
      <c r="AJ11" s="13">
        <f>'Logo-Cohort'!AJ11*(1+Expansion_C-Contraction_C)^34</f>
        <v>0</v>
      </c>
      <c r="AK11" s="13">
        <f>'Logo-Cohort'!AK11*(1+Expansion_C-Contraction_C)^35</f>
        <v>0</v>
      </c>
      <c r="AL11" s="13">
        <f>'Logo-Cohort'!AL11*(1+Expansion_C-Contraction_C)^36</f>
        <v>0</v>
      </c>
    </row>
    <row r="12" spans="1:38">
      <c r="A12" s="2" t="s">
        <v>116</v>
      </c>
      <c r="B12" s="13">
        <v>1</v>
      </c>
      <c r="C12" s="13">
        <f>'Logo-Cohort'!C12*(1+Expansion_C-Contraction_C)^1</f>
        <v>0</v>
      </c>
      <c r="D12" s="13">
        <f>'Logo-Cohort'!D12*(1+Expansion_C-Contraction_C)^2</f>
        <v>0</v>
      </c>
      <c r="E12" s="13">
        <f>'Logo-Cohort'!E12*(1+Expansion_C-Contraction_C)^3</f>
        <v>0</v>
      </c>
      <c r="F12" s="13">
        <f>'Logo-Cohort'!F12*(1+Expansion_C-Contraction_C)^4</f>
        <v>0</v>
      </c>
      <c r="G12" s="13">
        <f>'Logo-Cohort'!G12*(1+Expansion_C-Contraction_C)^5</f>
        <v>0</v>
      </c>
      <c r="H12" s="13">
        <f>'Logo-Cohort'!H12*(1+Expansion_C-Contraction_C)^6</f>
        <v>0</v>
      </c>
      <c r="I12" s="13">
        <f>'Logo-Cohort'!I12*(1+Expansion_C-Contraction_C)^7</f>
        <v>0</v>
      </c>
      <c r="J12" s="13">
        <f>'Logo-Cohort'!J12*(1+Expansion_C-Contraction_C)^8</f>
        <v>0</v>
      </c>
      <c r="K12" s="13">
        <f>'Logo-Cohort'!K12*(1+Expansion_C-Contraction_C)^9</f>
        <v>0</v>
      </c>
      <c r="L12" s="13">
        <f>'Logo-Cohort'!L12*(1+Expansion_C-Contraction_C)^10</f>
        <v>0</v>
      </c>
      <c r="M12" s="13">
        <f>'Logo-Cohort'!M12*(1+Expansion_C-Contraction_C)^11</f>
        <v>0</v>
      </c>
      <c r="N12" s="13">
        <f>'Logo-Cohort'!N12*(1+Expansion_C-Contraction_C)^12</f>
        <v>0</v>
      </c>
      <c r="O12" s="13">
        <f>'Logo-Cohort'!O12*(1+Expansion_C-Contraction_C)^13</f>
        <v>0</v>
      </c>
      <c r="P12" s="13">
        <f>'Logo-Cohort'!P12*(1+Expansion_C-Contraction_C)^14</f>
        <v>0</v>
      </c>
      <c r="Q12" s="13">
        <f>'Logo-Cohort'!Q12*(1+Expansion_C-Contraction_C)^15</f>
        <v>0</v>
      </c>
      <c r="R12" s="13">
        <f>'Logo-Cohort'!R12*(1+Expansion_C-Contraction_C)^16</f>
        <v>0</v>
      </c>
      <c r="S12" s="13">
        <f>'Logo-Cohort'!S12*(1+Expansion_C-Contraction_C)^17</f>
        <v>0</v>
      </c>
      <c r="T12" s="13">
        <f>'Logo-Cohort'!T12*(1+Expansion_C-Contraction_C)^18</f>
        <v>0</v>
      </c>
      <c r="U12" s="13">
        <f>'Logo-Cohort'!U12*(1+Expansion_C-Contraction_C)^19</f>
        <v>0</v>
      </c>
      <c r="V12" s="13">
        <f>'Logo-Cohort'!V12*(1+Expansion_C-Contraction_C)^20</f>
        <v>0</v>
      </c>
      <c r="W12" s="13">
        <f>'Logo-Cohort'!W12*(1+Expansion_C-Contraction_C)^21</f>
        <v>0</v>
      </c>
      <c r="X12" s="13">
        <f>'Logo-Cohort'!X12*(1+Expansion_C-Contraction_C)^22</f>
        <v>0</v>
      </c>
      <c r="Y12" s="13">
        <f>'Logo-Cohort'!Y12*(1+Expansion_C-Contraction_C)^23</f>
        <v>0</v>
      </c>
      <c r="Z12" s="13">
        <f>'Logo-Cohort'!Z12*(1+Expansion_C-Contraction_C)^24</f>
        <v>0</v>
      </c>
      <c r="AA12" s="13">
        <f>'Logo-Cohort'!AA12*(1+Expansion_C-Contraction_C)^25</f>
        <v>0</v>
      </c>
      <c r="AB12" s="13">
        <f>'Logo-Cohort'!AB12*(1+Expansion_C-Contraction_C)^26</f>
        <v>0</v>
      </c>
      <c r="AC12" s="13">
        <f>'Logo-Cohort'!AC12*(1+Expansion_C-Contraction_C)^27</f>
        <v>0</v>
      </c>
      <c r="AD12" s="13">
        <f>'Logo-Cohort'!AD12*(1+Expansion_C-Contraction_C)^28</f>
        <v>0</v>
      </c>
      <c r="AE12" s="13">
        <f>'Logo-Cohort'!AE12*(1+Expansion_C-Contraction_C)^29</f>
        <v>0</v>
      </c>
      <c r="AF12" s="13">
        <f>'Logo-Cohort'!AF12*(1+Expansion_C-Contraction_C)^30</f>
        <v>0</v>
      </c>
      <c r="AG12" s="13">
        <f>'Logo-Cohort'!AG12*(1+Expansion_C-Contraction_C)^31</f>
        <v>0</v>
      </c>
      <c r="AH12" s="13">
        <f>'Logo-Cohort'!AH12*(1+Expansion_C-Contraction_C)^32</f>
        <v>0</v>
      </c>
      <c r="AI12" s="13">
        <f>'Logo-Cohort'!AI12*(1+Expansion_C-Contraction_C)^33</f>
        <v>0</v>
      </c>
      <c r="AJ12" s="13">
        <f>'Logo-Cohort'!AJ12*(1+Expansion_C-Contraction_C)^34</f>
        <v>0</v>
      </c>
      <c r="AK12" s="13">
        <f>'Logo-Cohort'!AK12*(1+Expansion_C-Contraction_C)^35</f>
        <v>0</v>
      </c>
      <c r="AL12" s="13">
        <f>'Logo-Cohort'!AL12*(1+Expansion_C-Contraction_C)^36</f>
        <v>0</v>
      </c>
    </row>
    <row r="13" spans="1:38">
      <c r="A13" s="2" t="s">
        <v>117</v>
      </c>
      <c r="B13" s="13">
        <v>1</v>
      </c>
      <c r="C13" s="13">
        <f>'Logo-Cohort'!C13*(1+Expansion_C-Contraction_C)^1</f>
        <v>0</v>
      </c>
      <c r="D13" s="13">
        <f>'Logo-Cohort'!D13*(1+Expansion_C-Contraction_C)^2</f>
        <v>0</v>
      </c>
      <c r="E13" s="13">
        <f>'Logo-Cohort'!E13*(1+Expansion_C-Contraction_C)^3</f>
        <v>0</v>
      </c>
      <c r="F13" s="13">
        <f>'Logo-Cohort'!F13*(1+Expansion_C-Contraction_C)^4</f>
        <v>0</v>
      </c>
      <c r="G13" s="13">
        <f>'Logo-Cohort'!G13*(1+Expansion_C-Contraction_C)^5</f>
        <v>0</v>
      </c>
      <c r="H13" s="13">
        <f>'Logo-Cohort'!H13*(1+Expansion_C-Contraction_C)^6</f>
        <v>0</v>
      </c>
      <c r="I13" s="13">
        <f>'Logo-Cohort'!I13*(1+Expansion_C-Contraction_C)^7</f>
        <v>0</v>
      </c>
      <c r="J13" s="13">
        <f>'Logo-Cohort'!J13*(1+Expansion_C-Contraction_C)^8</f>
        <v>0</v>
      </c>
      <c r="K13" s="13">
        <f>'Logo-Cohort'!K13*(1+Expansion_C-Contraction_C)^9</f>
        <v>0</v>
      </c>
      <c r="L13" s="13">
        <f>'Logo-Cohort'!L13*(1+Expansion_C-Contraction_C)^10</f>
        <v>0</v>
      </c>
      <c r="M13" s="13">
        <f>'Logo-Cohort'!M13*(1+Expansion_C-Contraction_C)^11</f>
        <v>0</v>
      </c>
      <c r="N13" s="13">
        <f>'Logo-Cohort'!N13*(1+Expansion_C-Contraction_C)^12</f>
        <v>0</v>
      </c>
      <c r="O13" s="13">
        <f>'Logo-Cohort'!O13*(1+Expansion_C-Contraction_C)^13</f>
        <v>0</v>
      </c>
      <c r="P13" s="13">
        <f>'Logo-Cohort'!P13*(1+Expansion_C-Contraction_C)^14</f>
        <v>0</v>
      </c>
      <c r="Q13" s="13">
        <f>'Logo-Cohort'!Q13*(1+Expansion_C-Contraction_C)^15</f>
        <v>0</v>
      </c>
      <c r="R13" s="13">
        <f>'Logo-Cohort'!R13*(1+Expansion_C-Contraction_C)^16</f>
        <v>0</v>
      </c>
      <c r="S13" s="13">
        <f>'Logo-Cohort'!S13*(1+Expansion_C-Contraction_C)^17</f>
        <v>0</v>
      </c>
      <c r="T13" s="13">
        <f>'Logo-Cohort'!T13*(1+Expansion_C-Contraction_C)^18</f>
        <v>0</v>
      </c>
      <c r="U13" s="13">
        <f>'Logo-Cohort'!U13*(1+Expansion_C-Contraction_C)^19</f>
        <v>0</v>
      </c>
      <c r="V13" s="13">
        <f>'Logo-Cohort'!V13*(1+Expansion_C-Contraction_C)^20</f>
        <v>0</v>
      </c>
      <c r="W13" s="13">
        <f>'Logo-Cohort'!W13*(1+Expansion_C-Contraction_C)^21</f>
        <v>0</v>
      </c>
      <c r="X13" s="13">
        <f>'Logo-Cohort'!X13*(1+Expansion_C-Contraction_C)^22</f>
        <v>0</v>
      </c>
      <c r="Y13" s="13">
        <f>'Logo-Cohort'!Y13*(1+Expansion_C-Contraction_C)^23</f>
        <v>0</v>
      </c>
      <c r="Z13" s="13">
        <f>'Logo-Cohort'!Z13*(1+Expansion_C-Contraction_C)^24</f>
        <v>0</v>
      </c>
      <c r="AA13" s="13">
        <f>'Logo-Cohort'!AA13*(1+Expansion_C-Contraction_C)^25</f>
        <v>0</v>
      </c>
      <c r="AB13" s="13">
        <f>'Logo-Cohort'!AB13*(1+Expansion_C-Contraction_C)^26</f>
        <v>0</v>
      </c>
      <c r="AC13" s="13">
        <f>'Logo-Cohort'!AC13*(1+Expansion_C-Contraction_C)^27</f>
        <v>0</v>
      </c>
      <c r="AD13" s="13">
        <f>'Logo-Cohort'!AD13*(1+Expansion_C-Contraction_C)^28</f>
        <v>0</v>
      </c>
      <c r="AE13" s="13">
        <f>'Logo-Cohort'!AE13*(1+Expansion_C-Contraction_C)^29</f>
        <v>0</v>
      </c>
      <c r="AF13" s="13">
        <f>'Logo-Cohort'!AF13*(1+Expansion_C-Contraction_C)^30</f>
        <v>0</v>
      </c>
      <c r="AG13" s="13">
        <f>'Logo-Cohort'!AG13*(1+Expansion_C-Contraction_C)^31</f>
        <v>0</v>
      </c>
      <c r="AH13" s="13">
        <f>'Logo-Cohort'!AH13*(1+Expansion_C-Contraction_C)^32</f>
        <v>0</v>
      </c>
      <c r="AI13" s="13">
        <f>'Logo-Cohort'!AI13*(1+Expansion_C-Contraction_C)^33</f>
        <v>0</v>
      </c>
      <c r="AJ13" s="13">
        <f>'Logo-Cohort'!AJ13*(1+Expansion_C-Contraction_C)^34</f>
        <v>0</v>
      </c>
      <c r="AK13" s="13">
        <f>'Logo-Cohort'!AK13*(1+Expansion_C-Contraction_C)^35</f>
        <v>0</v>
      </c>
      <c r="AL13" s="13">
        <f>'Logo-Cohort'!AL13*(1+Expansion_C-Contraction_C)^36</f>
        <v>0</v>
      </c>
    </row>
    <row r="14" spans="1:38">
      <c r="A14" s="2" t="s">
        <v>118</v>
      </c>
      <c r="B14" s="13">
        <v>1</v>
      </c>
      <c r="C14" s="13">
        <f>'Logo-Cohort'!C14*(1+Expansion_C-Contraction_C)^1</f>
        <v>0</v>
      </c>
      <c r="D14" s="13">
        <f>'Logo-Cohort'!D14*(1+Expansion_C-Contraction_C)^2</f>
        <v>0</v>
      </c>
      <c r="E14" s="13">
        <f>'Logo-Cohort'!E14*(1+Expansion_C-Contraction_C)^3</f>
        <v>0</v>
      </c>
      <c r="F14" s="13">
        <f>'Logo-Cohort'!F14*(1+Expansion_C-Contraction_C)^4</f>
        <v>0</v>
      </c>
      <c r="G14" s="13">
        <f>'Logo-Cohort'!G14*(1+Expansion_C-Contraction_C)^5</f>
        <v>0</v>
      </c>
      <c r="H14" s="13">
        <f>'Logo-Cohort'!H14*(1+Expansion_C-Contraction_C)^6</f>
        <v>0</v>
      </c>
      <c r="I14" s="13">
        <f>'Logo-Cohort'!I14*(1+Expansion_C-Contraction_C)^7</f>
        <v>0</v>
      </c>
      <c r="J14" s="13">
        <f>'Logo-Cohort'!J14*(1+Expansion_C-Contraction_C)^8</f>
        <v>0</v>
      </c>
      <c r="K14" s="13">
        <f>'Logo-Cohort'!K14*(1+Expansion_C-Contraction_C)^9</f>
        <v>0</v>
      </c>
      <c r="L14" s="13">
        <f>'Logo-Cohort'!L14*(1+Expansion_C-Contraction_C)^10</f>
        <v>0</v>
      </c>
      <c r="M14" s="13">
        <f>'Logo-Cohort'!M14*(1+Expansion_C-Contraction_C)^11</f>
        <v>0</v>
      </c>
      <c r="N14" s="13">
        <f>'Logo-Cohort'!N14*(1+Expansion_C-Contraction_C)^12</f>
        <v>0</v>
      </c>
      <c r="O14" s="13">
        <f>'Logo-Cohort'!O14*(1+Expansion_C-Contraction_C)^13</f>
        <v>0</v>
      </c>
      <c r="P14" s="13">
        <f>'Logo-Cohort'!P14*(1+Expansion_C-Contraction_C)^14</f>
        <v>0</v>
      </c>
      <c r="Q14" s="13">
        <f>'Logo-Cohort'!Q14*(1+Expansion_C-Contraction_C)^15</f>
        <v>0</v>
      </c>
      <c r="R14" s="13">
        <f>'Logo-Cohort'!R14*(1+Expansion_C-Contraction_C)^16</f>
        <v>0</v>
      </c>
      <c r="S14" s="13">
        <f>'Logo-Cohort'!S14*(1+Expansion_C-Contraction_C)^17</f>
        <v>0</v>
      </c>
      <c r="T14" s="13">
        <f>'Logo-Cohort'!T14*(1+Expansion_C-Contraction_C)^18</f>
        <v>0</v>
      </c>
      <c r="U14" s="13">
        <f>'Logo-Cohort'!U14*(1+Expansion_C-Contraction_C)^19</f>
        <v>0</v>
      </c>
      <c r="V14" s="13">
        <f>'Logo-Cohort'!V14*(1+Expansion_C-Contraction_C)^20</f>
        <v>0</v>
      </c>
      <c r="W14" s="13">
        <f>'Logo-Cohort'!W14*(1+Expansion_C-Contraction_C)^21</f>
        <v>0</v>
      </c>
      <c r="X14" s="13">
        <f>'Logo-Cohort'!X14*(1+Expansion_C-Contraction_C)^22</f>
        <v>0</v>
      </c>
      <c r="Y14" s="13">
        <f>'Logo-Cohort'!Y14*(1+Expansion_C-Contraction_C)^23</f>
        <v>0</v>
      </c>
      <c r="Z14" s="13">
        <f>'Logo-Cohort'!Z14*(1+Expansion_C-Contraction_C)^24</f>
        <v>0</v>
      </c>
      <c r="AA14" s="13">
        <f>'Logo-Cohort'!AA14*(1+Expansion_C-Contraction_C)^25</f>
        <v>0</v>
      </c>
      <c r="AB14" s="13">
        <f>'Logo-Cohort'!AB14*(1+Expansion_C-Contraction_C)^26</f>
        <v>0</v>
      </c>
      <c r="AC14" s="13">
        <f>'Logo-Cohort'!AC14*(1+Expansion_C-Contraction_C)^27</f>
        <v>0</v>
      </c>
      <c r="AD14" s="13">
        <f>'Logo-Cohort'!AD14*(1+Expansion_C-Contraction_C)^28</f>
        <v>0</v>
      </c>
      <c r="AE14" s="13">
        <f>'Logo-Cohort'!AE14*(1+Expansion_C-Contraction_C)^29</f>
        <v>0</v>
      </c>
      <c r="AF14" s="13">
        <f>'Logo-Cohort'!AF14*(1+Expansion_C-Contraction_C)^30</f>
        <v>0</v>
      </c>
      <c r="AG14" s="13">
        <f>'Logo-Cohort'!AG14*(1+Expansion_C-Contraction_C)^31</f>
        <v>0</v>
      </c>
      <c r="AH14" s="13">
        <f>'Logo-Cohort'!AH14*(1+Expansion_C-Contraction_C)^32</f>
        <v>0</v>
      </c>
      <c r="AI14" s="13">
        <f>'Logo-Cohort'!AI14*(1+Expansion_C-Contraction_C)^33</f>
        <v>0</v>
      </c>
      <c r="AJ14" s="13">
        <f>'Logo-Cohort'!AJ14*(1+Expansion_C-Contraction_C)^34</f>
        <v>0</v>
      </c>
      <c r="AK14" s="13">
        <f>'Logo-Cohort'!AK14*(1+Expansion_C-Contraction_C)^35</f>
        <v>0</v>
      </c>
      <c r="AL14" s="13">
        <f>'Logo-Cohort'!AL14*(1+Expansion_C-Contraction_C)^36</f>
        <v>0</v>
      </c>
    </row>
    <row r="15" spans="1:38">
      <c r="A15" s="2" t="s">
        <v>119</v>
      </c>
      <c r="B15" s="13">
        <v>1</v>
      </c>
      <c r="C15" s="13">
        <f>'Logo-Cohort'!C15*(1+Expansion_C-Contraction_C)^1</f>
        <v>0</v>
      </c>
      <c r="D15" s="13">
        <f>'Logo-Cohort'!D15*(1+Expansion_C-Contraction_C)^2</f>
        <v>0</v>
      </c>
      <c r="E15" s="13">
        <f>'Logo-Cohort'!E15*(1+Expansion_C-Contraction_C)^3</f>
        <v>0</v>
      </c>
      <c r="F15" s="13">
        <f>'Logo-Cohort'!F15*(1+Expansion_C-Contraction_C)^4</f>
        <v>0</v>
      </c>
      <c r="G15" s="13">
        <f>'Logo-Cohort'!G15*(1+Expansion_C-Contraction_C)^5</f>
        <v>0</v>
      </c>
      <c r="H15" s="13">
        <f>'Logo-Cohort'!H15*(1+Expansion_C-Contraction_C)^6</f>
        <v>0</v>
      </c>
      <c r="I15" s="13">
        <f>'Logo-Cohort'!I15*(1+Expansion_C-Contraction_C)^7</f>
        <v>0</v>
      </c>
      <c r="J15" s="13">
        <f>'Logo-Cohort'!J15*(1+Expansion_C-Contraction_C)^8</f>
        <v>0</v>
      </c>
      <c r="K15" s="13">
        <f>'Logo-Cohort'!K15*(1+Expansion_C-Contraction_C)^9</f>
        <v>0</v>
      </c>
      <c r="L15" s="13">
        <f>'Logo-Cohort'!L15*(1+Expansion_C-Contraction_C)^10</f>
        <v>0</v>
      </c>
      <c r="M15" s="13">
        <f>'Logo-Cohort'!M15*(1+Expansion_C-Contraction_C)^11</f>
        <v>0</v>
      </c>
      <c r="N15" s="13">
        <f>'Logo-Cohort'!N15*(1+Expansion_C-Contraction_C)^12</f>
        <v>0</v>
      </c>
      <c r="O15" s="13">
        <f>'Logo-Cohort'!O15*(1+Expansion_C-Contraction_C)^13</f>
        <v>0</v>
      </c>
      <c r="P15" s="13">
        <f>'Logo-Cohort'!P15*(1+Expansion_C-Contraction_C)^14</f>
        <v>0</v>
      </c>
      <c r="Q15" s="13">
        <f>'Logo-Cohort'!Q15*(1+Expansion_C-Contraction_C)^15</f>
        <v>0</v>
      </c>
      <c r="R15" s="13">
        <f>'Logo-Cohort'!R15*(1+Expansion_C-Contraction_C)^16</f>
        <v>0</v>
      </c>
      <c r="S15" s="13">
        <f>'Logo-Cohort'!S15*(1+Expansion_C-Contraction_C)^17</f>
        <v>0</v>
      </c>
      <c r="T15" s="13">
        <f>'Logo-Cohort'!T15*(1+Expansion_C-Contraction_C)^18</f>
        <v>0</v>
      </c>
      <c r="U15" s="13">
        <f>'Logo-Cohort'!U15*(1+Expansion_C-Contraction_C)^19</f>
        <v>0</v>
      </c>
      <c r="V15" s="13">
        <f>'Logo-Cohort'!V15*(1+Expansion_C-Contraction_C)^20</f>
        <v>0</v>
      </c>
      <c r="W15" s="13">
        <f>'Logo-Cohort'!W15*(1+Expansion_C-Contraction_C)^21</f>
        <v>0</v>
      </c>
      <c r="X15" s="13">
        <f>'Logo-Cohort'!X15*(1+Expansion_C-Contraction_C)^22</f>
        <v>0</v>
      </c>
      <c r="Y15" s="13">
        <f>'Logo-Cohort'!Y15*(1+Expansion_C-Contraction_C)^23</f>
        <v>0</v>
      </c>
      <c r="Z15" s="13">
        <f>'Logo-Cohort'!Z15*(1+Expansion_C-Contraction_C)^24</f>
        <v>0</v>
      </c>
      <c r="AA15" s="13">
        <f>'Logo-Cohort'!AA15*(1+Expansion_C-Contraction_C)^25</f>
        <v>0</v>
      </c>
      <c r="AB15" s="13">
        <f>'Logo-Cohort'!AB15*(1+Expansion_C-Contraction_C)^26</f>
        <v>0</v>
      </c>
      <c r="AC15" s="13">
        <f>'Logo-Cohort'!AC15*(1+Expansion_C-Contraction_C)^27</f>
        <v>0</v>
      </c>
      <c r="AD15" s="13">
        <f>'Logo-Cohort'!AD15*(1+Expansion_C-Contraction_C)^28</f>
        <v>0</v>
      </c>
      <c r="AE15" s="13">
        <f>'Logo-Cohort'!AE15*(1+Expansion_C-Contraction_C)^29</f>
        <v>0</v>
      </c>
      <c r="AF15" s="13">
        <f>'Logo-Cohort'!AF15*(1+Expansion_C-Contraction_C)^30</f>
        <v>0</v>
      </c>
      <c r="AG15" s="13">
        <f>'Logo-Cohort'!AG15*(1+Expansion_C-Contraction_C)^31</f>
        <v>0</v>
      </c>
      <c r="AH15" s="13">
        <f>'Logo-Cohort'!AH15*(1+Expansion_C-Contraction_C)^32</f>
        <v>0</v>
      </c>
      <c r="AI15" s="13">
        <f>'Logo-Cohort'!AI15*(1+Expansion_C-Contraction_C)^33</f>
        <v>0</v>
      </c>
      <c r="AJ15" s="13">
        <f>'Logo-Cohort'!AJ15*(1+Expansion_C-Contraction_C)^34</f>
        <v>0</v>
      </c>
      <c r="AK15" s="13">
        <f>'Logo-Cohort'!AK15*(1+Expansion_C-Contraction_C)^35</f>
        <v>0</v>
      </c>
      <c r="AL15" s="13">
        <f>'Logo-Cohort'!AL15*(1+Expansion_C-Contraction_C)^36</f>
        <v>0</v>
      </c>
    </row>
    <row r="16" spans="1:38">
      <c r="A16" s="2" t="s">
        <v>120</v>
      </c>
      <c r="B16" s="13">
        <v>1</v>
      </c>
      <c r="C16" s="13">
        <f>'Logo-Cohort'!C16*(1+Expansion_C-Contraction_C)^1</f>
        <v>0</v>
      </c>
      <c r="D16" s="13">
        <f>'Logo-Cohort'!D16*(1+Expansion_C-Contraction_C)^2</f>
        <v>0</v>
      </c>
      <c r="E16" s="13">
        <f>'Logo-Cohort'!E16*(1+Expansion_C-Contraction_C)^3</f>
        <v>0</v>
      </c>
      <c r="F16" s="13">
        <f>'Logo-Cohort'!F16*(1+Expansion_C-Contraction_C)^4</f>
        <v>0</v>
      </c>
      <c r="G16" s="13">
        <f>'Logo-Cohort'!G16*(1+Expansion_C-Contraction_C)^5</f>
        <v>0</v>
      </c>
      <c r="H16" s="13">
        <f>'Logo-Cohort'!H16*(1+Expansion_C-Contraction_C)^6</f>
        <v>0</v>
      </c>
      <c r="I16" s="13">
        <f>'Logo-Cohort'!I16*(1+Expansion_C-Contraction_C)^7</f>
        <v>0</v>
      </c>
      <c r="J16" s="13">
        <f>'Logo-Cohort'!J16*(1+Expansion_C-Contraction_C)^8</f>
        <v>0</v>
      </c>
      <c r="K16" s="13">
        <f>'Logo-Cohort'!K16*(1+Expansion_C-Contraction_C)^9</f>
        <v>0</v>
      </c>
      <c r="L16" s="13">
        <f>'Logo-Cohort'!L16*(1+Expansion_C-Contraction_C)^10</f>
        <v>0</v>
      </c>
      <c r="M16" s="13">
        <f>'Logo-Cohort'!M16*(1+Expansion_C-Contraction_C)^11</f>
        <v>0</v>
      </c>
      <c r="N16" s="13">
        <f>'Logo-Cohort'!N16*(1+Expansion_C-Contraction_C)^12</f>
        <v>0</v>
      </c>
      <c r="O16" s="13">
        <f>'Logo-Cohort'!O16*(1+Expansion_C-Contraction_C)^13</f>
        <v>0</v>
      </c>
      <c r="P16" s="13">
        <f>'Logo-Cohort'!P16*(1+Expansion_C-Contraction_C)^14</f>
        <v>0</v>
      </c>
      <c r="Q16" s="13">
        <f>'Logo-Cohort'!Q16*(1+Expansion_C-Contraction_C)^15</f>
        <v>0</v>
      </c>
      <c r="R16" s="13">
        <f>'Logo-Cohort'!R16*(1+Expansion_C-Contraction_C)^16</f>
        <v>0</v>
      </c>
      <c r="S16" s="13">
        <f>'Logo-Cohort'!S16*(1+Expansion_C-Contraction_C)^17</f>
        <v>0</v>
      </c>
      <c r="T16" s="13">
        <f>'Logo-Cohort'!T16*(1+Expansion_C-Contraction_C)^18</f>
        <v>0</v>
      </c>
      <c r="U16" s="13">
        <f>'Logo-Cohort'!U16*(1+Expansion_C-Contraction_C)^19</f>
        <v>0</v>
      </c>
      <c r="V16" s="13">
        <f>'Logo-Cohort'!V16*(1+Expansion_C-Contraction_C)^20</f>
        <v>0</v>
      </c>
      <c r="W16" s="13">
        <f>'Logo-Cohort'!W16*(1+Expansion_C-Contraction_C)^21</f>
        <v>0</v>
      </c>
      <c r="X16" s="13">
        <f>'Logo-Cohort'!X16*(1+Expansion_C-Contraction_C)^22</f>
        <v>0</v>
      </c>
      <c r="Y16" s="13">
        <f>'Logo-Cohort'!Y16*(1+Expansion_C-Contraction_C)^23</f>
        <v>0</v>
      </c>
      <c r="Z16" s="13">
        <f>'Logo-Cohort'!Z16*(1+Expansion_C-Contraction_C)^24</f>
        <v>0</v>
      </c>
      <c r="AA16" s="13">
        <f>'Logo-Cohort'!AA16*(1+Expansion_C-Contraction_C)^25</f>
        <v>0</v>
      </c>
      <c r="AB16" s="13">
        <f>'Logo-Cohort'!AB16*(1+Expansion_C-Contraction_C)^26</f>
        <v>0</v>
      </c>
      <c r="AC16" s="13">
        <f>'Logo-Cohort'!AC16*(1+Expansion_C-Contraction_C)^27</f>
        <v>0</v>
      </c>
      <c r="AD16" s="13">
        <f>'Logo-Cohort'!AD16*(1+Expansion_C-Contraction_C)^28</f>
        <v>0</v>
      </c>
      <c r="AE16" s="13">
        <f>'Logo-Cohort'!AE16*(1+Expansion_C-Contraction_C)^29</f>
        <v>0</v>
      </c>
      <c r="AF16" s="13">
        <f>'Logo-Cohort'!AF16*(1+Expansion_C-Contraction_C)^30</f>
        <v>0</v>
      </c>
      <c r="AG16" s="13">
        <f>'Logo-Cohort'!AG16*(1+Expansion_C-Contraction_C)^31</f>
        <v>0</v>
      </c>
      <c r="AH16" s="13">
        <f>'Logo-Cohort'!AH16*(1+Expansion_C-Contraction_C)^32</f>
        <v>0</v>
      </c>
      <c r="AI16" s="13">
        <f>'Logo-Cohort'!AI16*(1+Expansion_C-Contraction_C)^33</f>
        <v>0</v>
      </c>
      <c r="AJ16" s="13">
        <f>'Logo-Cohort'!AJ16*(1+Expansion_C-Contraction_C)^34</f>
        <v>0</v>
      </c>
      <c r="AK16" s="13">
        <f>'Logo-Cohort'!AK16*(1+Expansion_C-Contraction_C)^35</f>
        <v>0</v>
      </c>
      <c r="AL16" s="13">
        <f>'Logo-Cohort'!AL16*(1+Expansion_C-Contraction_C)^36</f>
        <v>0</v>
      </c>
    </row>
    <row r="17" spans="1:38">
      <c r="A17" s="2" t="s">
        <v>121</v>
      </c>
      <c r="B17" s="13">
        <v>1</v>
      </c>
      <c r="C17" s="13">
        <f>'Logo-Cohort'!C17*(1+Expansion_C-Contraction_C)^1</f>
        <v>0</v>
      </c>
      <c r="D17" s="13">
        <f>'Logo-Cohort'!D17*(1+Expansion_C-Contraction_C)^2</f>
        <v>0</v>
      </c>
      <c r="E17" s="13">
        <f>'Logo-Cohort'!E17*(1+Expansion_C-Contraction_C)^3</f>
        <v>0</v>
      </c>
      <c r="F17" s="13">
        <f>'Logo-Cohort'!F17*(1+Expansion_C-Contraction_C)^4</f>
        <v>0</v>
      </c>
      <c r="G17" s="13">
        <f>'Logo-Cohort'!G17*(1+Expansion_C-Contraction_C)^5</f>
        <v>0</v>
      </c>
      <c r="H17" s="13">
        <f>'Logo-Cohort'!H17*(1+Expansion_C-Contraction_C)^6</f>
        <v>0</v>
      </c>
      <c r="I17" s="13">
        <f>'Logo-Cohort'!I17*(1+Expansion_C-Contraction_C)^7</f>
        <v>0</v>
      </c>
      <c r="J17" s="13">
        <f>'Logo-Cohort'!J17*(1+Expansion_C-Contraction_C)^8</f>
        <v>0</v>
      </c>
      <c r="K17" s="13">
        <f>'Logo-Cohort'!K17*(1+Expansion_C-Contraction_C)^9</f>
        <v>0</v>
      </c>
      <c r="L17" s="13">
        <f>'Logo-Cohort'!L17*(1+Expansion_C-Contraction_C)^10</f>
        <v>0</v>
      </c>
      <c r="M17" s="13">
        <f>'Logo-Cohort'!M17*(1+Expansion_C-Contraction_C)^11</f>
        <v>0</v>
      </c>
      <c r="N17" s="13">
        <f>'Logo-Cohort'!N17*(1+Expansion_C-Contraction_C)^12</f>
        <v>0</v>
      </c>
      <c r="O17" s="13">
        <f>'Logo-Cohort'!O17*(1+Expansion_C-Contraction_C)^13</f>
        <v>0</v>
      </c>
      <c r="P17" s="13">
        <f>'Logo-Cohort'!P17*(1+Expansion_C-Contraction_C)^14</f>
        <v>0</v>
      </c>
      <c r="Q17" s="13">
        <f>'Logo-Cohort'!Q17*(1+Expansion_C-Contraction_C)^15</f>
        <v>0</v>
      </c>
      <c r="R17" s="13">
        <f>'Logo-Cohort'!R17*(1+Expansion_C-Contraction_C)^16</f>
        <v>0</v>
      </c>
      <c r="S17" s="13">
        <f>'Logo-Cohort'!S17*(1+Expansion_C-Contraction_C)^17</f>
        <v>0</v>
      </c>
      <c r="T17" s="13">
        <f>'Logo-Cohort'!T17*(1+Expansion_C-Contraction_C)^18</f>
        <v>0</v>
      </c>
      <c r="U17" s="13">
        <f>'Logo-Cohort'!U17*(1+Expansion_C-Contraction_C)^19</f>
        <v>0</v>
      </c>
      <c r="V17" s="13">
        <f>'Logo-Cohort'!V17*(1+Expansion_C-Contraction_C)^20</f>
        <v>0</v>
      </c>
      <c r="W17" s="13">
        <f>'Logo-Cohort'!W17*(1+Expansion_C-Contraction_C)^21</f>
        <v>0</v>
      </c>
      <c r="X17" s="13">
        <f>'Logo-Cohort'!X17*(1+Expansion_C-Contraction_C)^22</f>
        <v>0</v>
      </c>
      <c r="Y17" s="13">
        <f>'Logo-Cohort'!Y17*(1+Expansion_C-Contraction_C)^23</f>
        <v>0</v>
      </c>
      <c r="Z17" s="13">
        <f>'Logo-Cohort'!Z17*(1+Expansion_C-Contraction_C)^24</f>
        <v>0</v>
      </c>
      <c r="AA17" s="13">
        <f>'Logo-Cohort'!AA17*(1+Expansion_C-Contraction_C)^25</f>
        <v>0</v>
      </c>
      <c r="AB17" s="13">
        <f>'Logo-Cohort'!AB17*(1+Expansion_C-Contraction_C)^26</f>
        <v>0</v>
      </c>
      <c r="AC17" s="13">
        <f>'Logo-Cohort'!AC17*(1+Expansion_C-Contraction_C)^27</f>
        <v>0</v>
      </c>
      <c r="AD17" s="13">
        <f>'Logo-Cohort'!AD17*(1+Expansion_C-Contraction_C)^28</f>
        <v>0</v>
      </c>
      <c r="AE17" s="13">
        <f>'Logo-Cohort'!AE17*(1+Expansion_C-Contraction_C)^29</f>
        <v>0</v>
      </c>
      <c r="AF17" s="13">
        <f>'Logo-Cohort'!AF17*(1+Expansion_C-Contraction_C)^30</f>
        <v>0</v>
      </c>
      <c r="AG17" s="13">
        <f>'Logo-Cohort'!AG17*(1+Expansion_C-Contraction_C)^31</f>
        <v>0</v>
      </c>
      <c r="AH17" s="13">
        <f>'Logo-Cohort'!AH17*(1+Expansion_C-Contraction_C)^32</f>
        <v>0</v>
      </c>
      <c r="AI17" s="13">
        <f>'Logo-Cohort'!AI17*(1+Expansion_C-Contraction_C)^33</f>
        <v>0</v>
      </c>
      <c r="AJ17" s="13">
        <f>'Logo-Cohort'!AJ17*(1+Expansion_C-Contraction_C)^34</f>
        <v>0</v>
      </c>
      <c r="AK17" s="13">
        <f>'Logo-Cohort'!AK17*(1+Expansion_C-Contraction_C)^35</f>
        <v>0</v>
      </c>
      <c r="AL17" s="13">
        <f>'Logo-Cohort'!AL17*(1+Expansion_C-Contraction_C)^36</f>
        <v>0</v>
      </c>
    </row>
  </sheetData>
  <mergeCells count="1">
    <mergeCell ref="A1:AK1"/>
  </mergeCells>
  <conditionalFormatting sqref="B6:AN17">
    <cfRule type="colorScale" priority="1">
      <colorScale>
        <cfvo type="num" val="0.5"/>
        <cfvo type="num" val="1.0"/>
        <cfvo type="num" val="1.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32.7109375" customWidth="1"/>
    <col min="2" max="40" width="9.7109375" customWidth="1"/>
  </cols>
  <sheetData>
    <row r="1" spans="1:13" ht="28" customHeight="1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5" t="s">
        <v>125</v>
      </c>
      <c r="B3" s="5" t="s">
        <v>79</v>
      </c>
      <c r="C3" s="5" t="s">
        <v>82</v>
      </c>
      <c r="D3" s="5" t="s">
        <v>85</v>
      </c>
      <c r="E3" s="5" t="s">
        <v>42</v>
      </c>
      <c r="F3" s="5" t="s">
        <v>88</v>
      </c>
      <c r="G3" s="5" t="s">
        <v>91</v>
      </c>
      <c r="H3" s="5" t="s">
        <v>94</v>
      </c>
      <c r="I3" s="5" t="s">
        <v>97</v>
      </c>
      <c r="J3" s="5" t="s">
        <v>100</v>
      </c>
      <c r="K3" s="5" t="s">
        <v>103</v>
      </c>
      <c r="L3" s="5" t="s">
        <v>106</v>
      </c>
      <c r="M3" s="5" t="s">
        <v>109</v>
      </c>
    </row>
    <row r="4" spans="1:13">
      <c r="A4" s="2" t="s">
        <v>126</v>
      </c>
      <c r="B4" s="13">
        <f>MAX(0, 1-Base_Rev_Churn*12)</f>
        <v>0</v>
      </c>
      <c r="C4" s="13">
        <f>MAX(0, 1-Base_Rev_Churn*12)</f>
        <v>0</v>
      </c>
      <c r="D4" s="13">
        <f>MAX(0, 1-Base_Rev_Churn*12)</f>
        <v>0</v>
      </c>
      <c r="E4" s="13">
        <f>MAX(0, 1-Base_Rev_Churn*12)</f>
        <v>0</v>
      </c>
      <c r="F4" s="13">
        <f>MAX(0, 1-Base_Rev_Churn*12)</f>
        <v>0</v>
      </c>
      <c r="G4" s="13">
        <f>MAX(0, 1-Base_Rev_Churn*12)</f>
        <v>0</v>
      </c>
      <c r="H4" s="13">
        <f>MAX(0, 1-Base_Rev_Churn*12)</f>
        <v>0</v>
      </c>
      <c r="I4" s="13">
        <f>MAX(0, 1-Base_Rev_Churn*12)</f>
        <v>0</v>
      </c>
      <c r="J4" s="13">
        <f>MAX(0, 1-Base_Rev_Churn*12)</f>
        <v>0</v>
      </c>
      <c r="K4" s="13">
        <f>MAX(0, 1-Base_Rev_Churn*12)</f>
        <v>0</v>
      </c>
      <c r="L4" s="13">
        <f>MAX(0, 1-Base_Rev_Churn*12)</f>
        <v>0</v>
      </c>
      <c r="M4" s="13">
        <f>MAX(0, 1-Base_Rev_Churn*12)</f>
        <v>0</v>
      </c>
    </row>
    <row r="5" spans="1:13">
      <c r="A5" s="2" t="s">
        <v>127</v>
      </c>
      <c r="B5" s="13">
        <f>1+(Expansion_C-Base_Rev_Churn-Contraction_C)*12</f>
        <v>0</v>
      </c>
      <c r="C5" s="13">
        <f>1+(Expansion_C-Base_Rev_Churn-Contraction_C)*12</f>
        <v>0</v>
      </c>
      <c r="D5" s="13">
        <f>1+(Expansion_C-Base_Rev_Churn-Contraction_C)*12</f>
        <v>0</v>
      </c>
      <c r="E5" s="13">
        <f>1+(Expansion_C-Base_Rev_Churn-Contraction_C)*12</f>
        <v>0</v>
      </c>
      <c r="F5" s="13">
        <f>1+(Expansion_C-Base_Rev_Churn-Contraction_C)*12</f>
        <v>0</v>
      </c>
      <c r="G5" s="13">
        <f>1+(Expansion_C-Base_Rev_Churn-Contraction_C)*12</f>
        <v>0</v>
      </c>
      <c r="H5" s="13">
        <f>1+(Expansion_C-Base_Rev_Churn-Contraction_C)*12</f>
        <v>0</v>
      </c>
      <c r="I5" s="13">
        <f>1+(Expansion_C-Base_Rev_Churn-Contraction_C)*12</f>
        <v>0</v>
      </c>
      <c r="J5" s="13">
        <f>1+(Expansion_C-Base_Rev_Churn-Contraction_C)*12</f>
        <v>0</v>
      </c>
      <c r="K5" s="13">
        <f>1+(Expansion_C-Base_Rev_Churn-Contraction_C)*12</f>
        <v>0</v>
      </c>
      <c r="L5" s="13">
        <f>1+(Expansion_C-Base_Rev_Churn-Contraction_C)*12</f>
        <v>0</v>
      </c>
      <c r="M5" s="13">
        <f>1+(Expansion_C-Base_Rev_Churn-Contraction_C)*12</f>
        <v>0</v>
      </c>
    </row>
    <row r="6" spans="1:13">
      <c r="A6" s="2" t="s">
        <v>128</v>
      </c>
      <c r="B6" s="13">
        <v>1.1</v>
      </c>
      <c r="C6" s="13">
        <v>1.1</v>
      </c>
      <c r="D6" s="13">
        <v>1.1</v>
      </c>
      <c r="E6" s="13">
        <v>1.1</v>
      </c>
      <c r="F6" s="13">
        <v>1.1</v>
      </c>
      <c r="G6" s="13">
        <v>1.1</v>
      </c>
      <c r="H6" s="13">
        <v>1.1</v>
      </c>
      <c r="I6" s="13">
        <v>1.1</v>
      </c>
      <c r="J6" s="13">
        <v>1.1</v>
      </c>
      <c r="K6" s="13">
        <v>1.1</v>
      </c>
      <c r="L6" s="13">
        <v>1.1</v>
      </c>
      <c r="M6" s="13">
        <v>1.1</v>
      </c>
    </row>
    <row r="7" spans="1:13">
      <c r="A7" s="2" t="s">
        <v>129</v>
      </c>
      <c r="B7" s="13">
        <v>0.85</v>
      </c>
      <c r="C7" s="13">
        <v>0.85</v>
      </c>
      <c r="D7" s="13">
        <v>0.85</v>
      </c>
      <c r="E7" s="13">
        <v>0.85</v>
      </c>
      <c r="F7" s="13">
        <v>0.85</v>
      </c>
      <c r="G7" s="13">
        <v>0.85</v>
      </c>
      <c r="H7" s="13">
        <v>0.85</v>
      </c>
      <c r="I7" s="13">
        <v>0.85</v>
      </c>
      <c r="J7" s="13">
        <v>0.85</v>
      </c>
      <c r="K7" s="13">
        <v>0.85</v>
      </c>
      <c r="L7" s="13">
        <v>0.85</v>
      </c>
      <c r="M7" s="13">
        <v>0.85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36.7109375" customWidth="1"/>
    <col min="2" max="6" width="16.7109375" customWidth="1"/>
  </cols>
  <sheetData>
    <row r="1" spans="1:6" ht="28" customHeight="1">
      <c r="A1" s="1" t="s">
        <v>130</v>
      </c>
      <c r="B1" s="1"/>
      <c r="C1" s="1"/>
      <c r="D1" s="1"/>
      <c r="E1" s="1"/>
      <c r="F1" s="1"/>
    </row>
    <row r="3" spans="1:6">
      <c r="A3" s="5" t="s">
        <v>131</v>
      </c>
      <c r="B3" s="5" t="s">
        <v>132</v>
      </c>
      <c r="C3" s="5" t="s">
        <v>133</v>
      </c>
      <c r="D3" s="5" t="s">
        <v>134</v>
      </c>
      <c r="E3" s="5" t="s">
        <v>135</v>
      </c>
      <c r="F3" s="5" t="s">
        <v>136</v>
      </c>
    </row>
    <row r="4" spans="1:6">
      <c r="A4" s="2" t="s">
        <v>137</v>
      </c>
      <c r="B4" s="13">
        <f>MPesa_Mix</f>
        <v>0</v>
      </c>
      <c r="C4" s="13">
        <f>MPesa_Invol</f>
        <v>0</v>
      </c>
      <c r="D4" s="13">
        <f>MPesa_Invol*12</f>
        <v>0</v>
      </c>
      <c r="E4" s="13">
        <f>MPesa_Invol*12*Dunning_Recovery</f>
        <v>0</v>
      </c>
      <c r="F4" s="13">
        <f>MPesa_Invol*12*(1-Dunning_Recovery)</f>
        <v>0</v>
      </c>
    </row>
    <row r="5" spans="1:6">
      <c r="A5" s="2" t="s">
        <v>138</v>
      </c>
      <c r="B5" s="13">
        <f>MoMo_Mix</f>
        <v>0</v>
      </c>
      <c r="C5" s="13">
        <f>MoMo_Invol</f>
        <v>0</v>
      </c>
      <c r="D5" s="13">
        <f>MoMo_Invol*12</f>
        <v>0</v>
      </c>
      <c r="E5" s="13">
        <f>MoMo_Invol*12*Dunning_Recovery</f>
        <v>0</v>
      </c>
      <c r="F5" s="13">
        <f>MoMo_Invol*12*(1-Dunning_Recovery)</f>
        <v>0</v>
      </c>
    </row>
    <row r="6" spans="1:6">
      <c r="A6" s="2" t="s">
        <v>139</v>
      </c>
      <c r="B6" s="13">
        <f>Card_Mix</f>
        <v>0</v>
      </c>
      <c r="C6" s="13">
        <f>Card_Invol</f>
        <v>0</v>
      </c>
      <c r="D6" s="13">
        <f>Card_Invol*12</f>
        <v>0</v>
      </c>
      <c r="E6" s="13">
        <f>Card_Invol*12*Dunning_Recovery</f>
        <v>0</v>
      </c>
      <c r="F6" s="13">
        <f>Card_Invol*12*(1-Dunning_Recovery)</f>
        <v>0</v>
      </c>
    </row>
    <row r="7" spans="1:6">
      <c r="A7" s="2" t="s">
        <v>140</v>
      </c>
      <c r="B7" s="13">
        <f>Bank_Mix</f>
        <v>0</v>
      </c>
      <c r="C7" s="13">
        <f>Bank_Invol</f>
        <v>0</v>
      </c>
      <c r="D7" s="13">
        <f>Bank_Invol*12</f>
        <v>0</v>
      </c>
      <c r="E7" s="13">
        <f>Bank_Invol*12*Dunning_Recovery</f>
        <v>0</v>
      </c>
      <c r="F7" s="13">
        <f>Bank_Invol*12*(1-Dunning_Recovery)</f>
        <v>0</v>
      </c>
    </row>
    <row r="8" spans="1:6">
      <c r="A8" s="2" t="s">
        <v>141</v>
      </c>
      <c r="C8" s="14">
        <f>MPesa_Mix*MPesa_Invol+MoMo_Mix*MoMo_Invol+Card_Mix*Card_Invol+Bank_Mix*Bank_Invol</f>
        <v>0</v>
      </c>
      <c r="D8" s="14">
        <f>C8*12</f>
        <v>0</v>
      </c>
      <c r="E8" s="14">
        <f>D8*Dunning_Recovery</f>
        <v>0</v>
      </c>
      <c r="F8" s="14">
        <f>D8*(1-Dunning_Recovery)</f>
        <v>0</v>
      </c>
    </row>
    <row r="11" spans="1:6">
      <c r="A11" s="4" t="s">
        <v>142</v>
      </c>
      <c r="B11" s="4"/>
      <c r="C11" s="4"/>
      <c r="D11" s="4"/>
      <c r="E11" s="4"/>
      <c r="F11" s="4"/>
    </row>
    <row r="12" spans="1:6">
      <c r="A12" s="3" t="s">
        <v>143</v>
      </c>
      <c r="B12" s="3"/>
      <c r="C12" s="3"/>
      <c r="D12" s="3"/>
      <c r="E12" s="3"/>
      <c r="F12" s="3"/>
    </row>
  </sheetData>
  <mergeCells count="3">
    <mergeCell ref="A1:F1"/>
    <mergeCell ref="A11:F11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2.7109375" customWidth="1"/>
    <col min="2" max="5" width="18.7109375" customWidth="1"/>
  </cols>
  <sheetData>
    <row r="1" spans="1:5" ht="30" customHeight="1">
      <c r="A1" s="1" t="s">
        <v>144</v>
      </c>
      <c r="B1" s="1"/>
      <c r="C1" s="1"/>
      <c r="D1" s="1"/>
      <c r="E1" s="1"/>
    </row>
    <row r="4" spans="1:5" ht="22" customHeight="1">
      <c r="A4" s="15" t="s">
        <v>145</v>
      </c>
      <c r="B4" s="16">
        <f>MAX(0, 1-Base_Rev_Churn*12)</f>
        <v>0</v>
      </c>
    </row>
    <row r="5" spans="1:5" ht="22" customHeight="1">
      <c r="A5" s="15" t="s">
        <v>146</v>
      </c>
      <c r="B5" s="16">
        <f>1+(Expansion_C-Base_Rev_Churn-Contraction_C)*12</f>
        <v>0</v>
      </c>
    </row>
    <row r="6" spans="1:5" ht="22" customHeight="1">
      <c r="A6" s="15" t="s">
        <v>147</v>
      </c>
      <c r="B6" s="16">
        <f>'Involuntary-Churn'!D8</f>
        <v>0</v>
      </c>
    </row>
    <row r="7" spans="1:5" ht="22" customHeight="1">
      <c r="A7" s="15" t="s">
        <v>148</v>
      </c>
      <c r="B7" s="16">
        <f>'Involuntary-Churn'!F8</f>
        <v>0</v>
      </c>
    </row>
    <row r="8" spans="1:5" ht="22" customHeight="1">
      <c r="A8" s="15" t="s">
        <v>149</v>
      </c>
      <c r="B8" s="16">
        <f>'Logo-Cohort'!N6</f>
        <v>0</v>
      </c>
    </row>
    <row r="9" spans="1:5" ht="22" customHeight="1">
      <c r="A9" s="15" t="s">
        <v>150</v>
      </c>
      <c r="B9" s="16">
        <f>'Logo-Cohort'!Z6</f>
        <v>0</v>
      </c>
    </row>
    <row r="10" spans="1:5" ht="22" customHeight="1">
      <c r="A10" s="15" t="s">
        <v>151</v>
      </c>
      <c r="B10" s="16">
        <f>'Revenue-Cohort'!N6</f>
        <v>0</v>
      </c>
    </row>
    <row r="11" spans="1:5" ht="22" customHeight="1">
      <c r="A11" s="15" t="s">
        <v>152</v>
      </c>
      <c r="B11" s="16">
        <f>'Revenue-Cohort'!Z6</f>
        <v>0</v>
      </c>
    </row>
  </sheetData>
  <mergeCells count="1">
    <mergeCell ref="A1:E1"/>
  </mergeCells>
  <conditionalFormatting sqref="B5">
    <cfRule type="cellIs" dxfId="0" priority="1" operator="greaterThanOrEqual">
      <formula>1.1</formula>
    </cfRule>
    <cfRule type="cellIs" dxfId="1" priority="2" operator="between">
      <formula>1.0</formula>
      <formula>1.1</formula>
    </cfRule>
    <cfRule type="cellIs" dxfId="2" priority="3" operator="lessThan">
      <formula>1.0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17" t="s">
        <v>153</v>
      </c>
      <c r="B1" s="17"/>
    </row>
    <row r="3" spans="1:2" ht="60" customHeight="1">
      <c r="A3" s="2" t="s">
        <v>154</v>
      </c>
      <c r="B3" s="18" t="s">
        <v>155</v>
      </c>
    </row>
    <row r="4" spans="1:2" ht="60" customHeight="1">
      <c r="A4" s="2" t="s">
        <v>156</v>
      </c>
      <c r="B4" s="18" t="s">
        <v>157</v>
      </c>
    </row>
    <row r="5" spans="1:2" ht="60" customHeight="1">
      <c r="A5" s="2" t="s">
        <v>158</v>
      </c>
      <c r="B5" s="18" t="s">
        <v>159</v>
      </c>
    </row>
    <row r="6" spans="1:2" ht="60" customHeight="1">
      <c r="A6" s="2" t="s">
        <v>160</v>
      </c>
      <c r="B6" s="18" t="s">
        <v>161</v>
      </c>
    </row>
    <row r="7" spans="1:2" ht="60" customHeight="1">
      <c r="A7" s="2" t="s">
        <v>162</v>
      </c>
      <c r="B7" s="18" t="s">
        <v>163</v>
      </c>
    </row>
    <row r="8" spans="1:2" ht="60" customHeight="1">
      <c r="A8" s="2" t="s">
        <v>164</v>
      </c>
      <c r="B8" s="18" t="s">
        <v>165</v>
      </c>
    </row>
    <row r="9" spans="1:2" ht="60" customHeight="1">
      <c r="A9" s="2" t="s">
        <v>166</v>
      </c>
      <c r="B9" s="18" t="s">
        <v>167</v>
      </c>
    </row>
    <row r="10" spans="1:2" ht="60" customHeight="1">
      <c r="A10" s="2" t="s">
        <v>168</v>
      </c>
      <c r="B10" s="18" t="s">
        <v>169</v>
      </c>
    </row>
    <row r="11" spans="1:2" ht="60" customHeight="1">
      <c r="A11" s="2" t="s">
        <v>170</v>
      </c>
      <c r="B11" s="18" t="s">
        <v>171</v>
      </c>
    </row>
    <row r="12" spans="1:2" ht="60" customHeight="1">
      <c r="A12" s="2" t="s">
        <v>172</v>
      </c>
      <c r="B12" s="18" t="s">
        <v>173</v>
      </c>
    </row>
    <row r="13" spans="1:2" ht="60" customHeight="1">
      <c r="A13" s="2" t="s">
        <v>174</v>
      </c>
      <c r="B13" s="18" t="s">
        <v>175</v>
      </c>
    </row>
    <row r="14" spans="1:2" ht="60" customHeight="1">
      <c r="A14" s="2" t="s">
        <v>176</v>
      </c>
      <c r="B14" s="18" t="s">
        <v>177</v>
      </c>
    </row>
    <row r="15" spans="1:2" ht="60" customHeight="1">
      <c r="A15" s="2" t="s">
        <v>178</v>
      </c>
      <c r="B15" s="18" t="s">
        <v>179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README</vt:lpstr>
      <vt:lpstr>Inputs</vt:lpstr>
      <vt:lpstr>Logo-Cohort</vt:lpstr>
      <vt:lpstr>Revenue-Cohort</vt:lpstr>
      <vt:lpstr>NRR-GRR</vt:lpstr>
      <vt:lpstr>Involuntary-Churn</vt:lpstr>
      <vt:lpstr>Dashboard</vt:lpstr>
      <vt:lpstr>Africa-Notes</vt:lpstr>
      <vt:lpstr>ARPA_C</vt:lpstr>
      <vt:lpstr>Bank_Invol</vt:lpstr>
      <vt:lpstr>Bank_Mix</vt:lpstr>
      <vt:lpstr>Base_Logo_Churn</vt:lpstr>
      <vt:lpstr>Base_Rev_Churn</vt:lpstr>
      <vt:lpstr>Card_Invol</vt:lpstr>
      <vt:lpstr>Card_Mix</vt:lpstr>
      <vt:lpstr>Churn_Floor</vt:lpstr>
      <vt:lpstr>Contraction_C</vt:lpstr>
      <vt:lpstr>Decay_Factor</vt:lpstr>
      <vt:lpstr>Dunning_Recovery</vt:lpstr>
      <vt:lpstr>Expansion_C</vt:lpstr>
      <vt:lpstr>FX_C</vt:lpstr>
      <vt:lpstr>MoMo_Invol</vt:lpstr>
      <vt:lpstr>MoMo_Mix</vt:lpstr>
      <vt:lpstr>MPesa_Invol</vt:lpstr>
      <vt:lpstr>MPesa_Mix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2026-05-11T12:46:33Z</dcterms:created>
  <dcterms:modified xsi:type="dcterms:W3CDTF">2026-05-11T12:46:33Z</dcterms:modified>
</cp:coreProperties>
</file>