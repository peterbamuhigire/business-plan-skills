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Calc" sheetId="3" r:id="rId3"/>
    <sheet name="Cohort" sheetId="4" r:id="rId4"/>
    <sheet name="Dashboard" sheetId="5" r:id="rId5"/>
    <sheet name="Africa-Notes" sheetId="6" r:id="rId6"/>
  </sheets>
  <definedNames>
    <definedName name="ACV">Inputs!$B$12</definedName>
    <definedName name="Blended_ARPA">Inputs!$B$11</definedName>
    <definedName name="Blended_CAC">Inputs!$B$39</definedName>
    <definedName name="Contraction_Rate">Inputs!$B$27</definedName>
    <definedName name="EBITDA_Margin">Inputs!$B$46</definedName>
    <definedName name="Expansion_Rate">Inputs!$B$26</definedName>
    <definedName name="FX_Rate">Inputs!$B$58</definedName>
    <definedName name="GM_Pct">Inputs!$B$21</definedName>
    <definedName name="Involuntary_Churn">Inputs!$B$28</definedName>
    <definedName name="Logo_Churn">Inputs!$B$24</definedName>
    <definedName name="Net_Burn">Inputs!$B$44</definedName>
    <definedName name="Net_New_ARR">Inputs!$B$43</definedName>
    <definedName name="New_Logos">Inputs!$B$40</definedName>
    <definedName name="Prior_SM">Inputs!$B$42</definedName>
    <definedName name="Rev_Churn">Inputs!$B$25</definedName>
    <definedName name="SM_Spend">Inputs!$B$41</definedName>
    <definedName name="YoY_Growth">Inputs!$B$45</definedName>
  </definedNames>
  <calcPr calcId="124519" fullCalcOnLoad="1"/>
</workbook>
</file>

<file path=xl/sharedStrings.xml><?xml version="1.0" encoding="utf-8"?>
<sst xmlns="http://schemas.openxmlformats.org/spreadsheetml/2006/main" count="261" uniqueCount="211">
  <si>
    <t>SaaS Unit Economics Model</t>
  </si>
  <si>
    <t>Purpose</t>
  </si>
  <si>
    <t>Compute and monitor the twelve canonical SaaS unit-economics metrics (LTV, CAC, Payback, LTV:CAC, GRR, NRR, Magic Number, Rule of 40, Burn Multiple, Quick Ratio, ARPA, GM) for a single steady-state period. Feeds the 3-yr / 5-yr projection model and the bankability dashboard.</t>
  </si>
  <si>
    <t>Sheets in this workbook</t>
  </si>
  <si>
    <t>Inputs</t>
  </si>
  <si>
    <t>Yellow cells. Pricing, churn, expansion, CAC, S&amp;M, GM, FX.</t>
  </si>
  <si>
    <t>Calc</t>
  </si>
  <si>
    <t>All twelve metrics with three LTV formulations (simple, GM-adjusted, expansion-adjusted).</t>
  </si>
  <si>
    <t>Cohort</t>
  </si>
  <si>
    <t>24-month logo + revenue cohort matrix for six illustrative monthly cohorts.</t>
  </si>
  <si>
    <t>Dashboard</t>
  </si>
  <si>
    <t>Headline KPIs, traffic-light flags, three charts (LTV:CAC, Payback trend, Cohort smile).</t>
  </si>
  <si>
    <t>Africa-Notes</t>
  </si>
  <si>
    <t>FX, M-Pesa, MoMo, USD-Enterprise tier, sales-cycle calibration.</t>
  </si>
  <si>
    <t>Owner</t>
  </si>
  <si>
    <t>CFO / Finance Lead (founder pre-CFO)</t>
  </si>
  <si>
    <t>Update cadence</t>
  </si>
  <si>
    <t>Monthly refresh of Inputs from billing system (Stripe/Paystack/Chargebee). Quarterly review of benchmarks.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</si>
  <si>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</si>
  <si>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</si>
  <si>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</si>
  <si>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Mersch (Hacking SaaS), Cotton (Run a SaaS Business), Skok (forentrepreneurs.com), OpenView SaaS Benchmarks, KeyBanc SaaS Survey, ChartMogul.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</si>
  <si>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</si>
  <si>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</si>
  <si>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SaaS Unit Economics</t>
  </si>
  <si>
    <t>Yellow cells are user-editable. White cells are formulas.</t>
  </si>
  <si>
    <t>1. Pricing &amp; ARPA (USD)</t>
  </si>
  <si>
    <t>Tier 1 — Free / Starter MRR ($)</t>
  </si>
  <si>
    <t>Self-serve entry tier; can be $0.</t>
  </si>
  <si>
    <t>Tier 2 — Pro MRR ($)</t>
  </si>
  <si>
    <t>Mid-tier monthly recurring price (USD).</t>
  </si>
  <si>
    <t>Tier 3 — Enterprise MRR ($)</t>
  </si>
  <si>
    <t>Enterprise tier (often invoiced USD).</t>
  </si>
  <si>
    <t>% customers Tier 1</t>
  </si>
  <si>
    <t>Mix share — sum across tiers must be 100%.</t>
  </si>
  <si>
    <t>% customers Tier 2</t>
  </si>
  <si>
    <t>% customers Tier 3</t>
  </si>
  <si>
    <t>Blended monthly ARPA ($) [calc]</t>
  </si>
  <si>
    <t>Σ tier_price × tier_share.</t>
  </si>
  <si>
    <t>Annual ACV per customer ($)</t>
  </si>
  <si>
    <t>ACV = blended ARPA × 12.</t>
  </si>
  <si>
    <t>2. Gross Margin</t>
  </si>
  <si>
    <t>Hosting / infra cost as % of revenue</t>
  </si>
  <si>
    <t>Customer support cost as % of revenue</t>
  </si>
  <si>
    <t>Payment-rail fee (M-Pesa/MoMo/card) % of revenue</t>
  </si>
  <si>
    <t>Third-party / API / data fees % of revenue</t>
  </si>
  <si>
    <t>Customer-success cost % of revenue</t>
  </si>
  <si>
    <t>Total COGS % of revenue [calc]</t>
  </si>
  <si>
    <t>Gross margin % [calc]</t>
  </si>
  <si>
    <t>3. Churn &amp; Expansion (monthly)</t>
  </si>
  <si>
    <t>Monthly logo (gross) churn rate</t>
  </si>
  <si>
    <t>Monthly revenue (gross) churn rate</t>
  </si>
  <si>
    <t>Monthly expansion revenue rate (NRR uplift)</t>
  </si>
  <si>
    <t>Monthly contraction rate</t>
  </si>
  <si>
    <t>Involuntary churn (monthly, payment failures)</t>
  </si>
  <si>
    <t>4. CAC (fully loaded, USD)</t>
  </si>
  <si>
    <t>Paid-channel CAC ($/new logo)</t>
  </si>
  <si>
    <t>Inbound CAC ($/new logo)</t>
  </si>
  <si>
    <t>Outbound CAC ($/new logo)</t>
  </si>
  <si>
    <t>Partner / referral CAC ($/new logo)</t>
  </si>
  <si>
    <t>% new logos via paid</t>
  </si>
  <si>
    <t>% new logos via inbound</t>
  </si>
  <si>
    <t>% new logos via outbound</t>
  </si>
  <si>
    <t>% new logos via partner</t>
  </si>
  <si>
    <t>Blended CAC ($/new logo) [calc]</t>
  </si>
  <si>
    <t>New logos acquired in period (count)</t>
  </si>
  <si>
    <t>S&amp;M spend in period ($)</t>
  </si>
  <si>
    <t>Prior-quarter S&amp;M spend ($)</t>
  </si>
  <si>
    <t>Net new ARR added in quarter ($)</t>
  </si>
  <si>
    <t>Net cash burn in quarter ($)</t>
  </si>
  <si>
    <t>YoY revenue growth %</t>
  </si>
  <si>
    <t>EBITDA margin %</t>
  </si>
  <si>
    <t>5. Benchmarks / Targets</t>
  </si>
  <si>
    <t>LTV:CAC target (healthy &gt;=3, best &gt;=5)</t>
  </si>
  <si>
    <t>CAC payback target (months)</t>
  </si>
  <si>
    <t>Rule of 40 target</t>
  </si>
  <si>
    <t>NRR target</t>
  </si>
  <si>
    <t>Burn Multiple target (lower is better, &lt;2 healthy)</t>
  </si>
  <si>
    <t>Quick Ratio target (&gt;2 healthy)</t>
  </si>
  <si>
    <t>6. FX &amp; Local Currency</t>
  </si>
  <si>
    <t>Reporting currency code (e.g. UGX, KES, NGN, ZAR, EGP)</t>
  </si>
  <si>
    <t>UGX</t>
  </si>
  <si>
    <t>FX rate (local per 1 USD)</t>
  </si>
  <si>
    <t>Expected annual FX depreciation %</t>
  </si>
  <si>
    <t>Calc — Twelve Core Unit-Economics Metrics</t>
  </si>
  <si>
    <t>All formulas reference named ranges on Inputs sheet.</t>
  </si>
  <si>
    <t>Metric</t>
  </si>
  <si>
    <t>Value</t>
  </si>
  <si>
    <t>Unit</t>
  </si>
  <si>
    <t>Target / Benchmark</t>
  </si>
  <si>
    <t>Formula</t>
  </si>
  <si>
    <t>Blended ARPA</t>
  </si>
  <si>
    <t>$/mo</t>
  </si>
  <si>
    <t>n/a</t>
  </si>
  <si>
    <t>Σ tier price × tier mix</t>
  </si>
  <si>
    <t>ACV (Annual Contract Value)</t>
  </si>
  <si>
    <t>$</t>
  </si>
  <si>
    <t>ARPA × 12</t>
  </si>
  <si>
    <t>Gross Margin %</t>
  </si>
  <si>
    <t>%</t>
  </si>
  <si>
    <t>70–85% healthy</t>
  </si>
  <si>
    <t>1 − Σ(COGS components)</t>
  </si>
  <si>
    <t>LTV (simple)</t>
  </si>
  <si>
    <t>ARPA / monthly logo churn</t>
  </si>
  <si>
    <t>LTV (gross-margin-adj)</t>
  </si>
  <si>
    <t>ARPA × GM% / monthly churn — Skok/Mersch standard</t>
  </si>
  <si>
    <t>LTV (expansion-adj)</t>
  </si>
  <si>
    <t>Cap at 60 mo if NRR&gt;100%</t>
  </si>
  <si>
    <t>ARPA × GM% / (churn − expansion). If negative → cap 5-yr horizon</t>
  </si>
  <si>
    <t>Blended CAC</t>
  </si>
  <si>
    <t>Σ channel CAC × channel mix</t>
  </si>
  <si>
    <t>CAC Payback (months)</t>
  </si>
  <si>
    <t>months</t>
  </si>
  <si>
    <t>&lt;18 SMB (Africa)</t>
  </si>
  <si>
    <t>CAC / (ARPA × GM%)</t>
  </si>
  <si>
    <t>LTV:CAC</t>
  </si>
  <si>
    <t>ratio</t>
  </si>
  <si>
    <t>&gt;=3 healthy / &gt;=5 best</t>
  </si>
  <si>
    <t>GM-adjusted LTV / CAC</t>
  </si>
  <si>
    <t>GRR (annual)</t>
  </si>
  <si>
    <t>&gt;75% SMB, &gt;85% Mid, &gt;90% Ent</t>
  </si>
  <si>
    <t>1 − annualised revenue churn</t>
  </si>
  <si>
    <t>NRR (annual)</t>
  </si>
  <si>
    <t>&gt;100% target, &gt;120% best</t>
  </si>
  <si>
    <t>1 + annualised (expansion − churn − contraction)</t>
  </si>
  <si>
    <t>Magic Number</t>
  </si>
  <si>
    <t>&gt;1 invest more; &lt;0.75 fix</t>
  </si>
  <si>
    <t>Net New ARR × 4 / prior-quarter S&amp;M</t>
  </si>
  <si>
    <t>Rule of 40</t>
  </si>
  <si>
    <t>&gt;=30 (Africa Y1-3) / &gt;=40 std</t>
  </si>
  <si>
    <t>YoY growth % + EBITDA margin %</t>
  </si>
  <si>
    <t>Burn Multiple</t>
  </si>
  <si>
    <t>&lt;1 elite / &lt;2 healthy</t>
  </si>
  <si>
    <t>Net cash burn / Net new ARR</t>
  </si>
  <si>
    <t>Quick Ratio</t>
  </si>
  <si>
    <t>&gt;2 healthy / &gt;4 best</t>
  </si>
  <si>
    <t>(New MRR + Expansion MRR) / (Contraction + Churn MRR)</t>
  </si>
  <si>
    <t>Annualised Involuntary Churn</t>
  </si>
  <si>
    <t>&lt;1% best / 3–6% Africa avg</t>
  </si>
  <si>
    <t>Monthly involuntary × 12</t>
  </si>
  <si>
    <t>Cohort — 24-Month Logo &amp; Revenue Retention</t>
  </si>
  <si>
    <t>Six illustrative monthly cohorts. Logo retention = (1-Logo_Churn)^t. Revenue retention = (1+Expansion-Rev_Churn-Contraction)^t.</t>
  </si>
  <si>
    <t>Logo Cohort (% retained)</t>
  </si>
  <si>
    <t>Cohort \ Months since acquisition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</si>
  <si>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</si>
  <si>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</si>
  <si>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</si>
  <si>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</si>
  <si>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</si>
  <si>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</si>
  <si>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</si>
  <si>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</si>
  <si>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</si>
  <si>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</si>
  <si>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</si>
  <si>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</si>
  <si>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</si>
  <si>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</si>
  <si>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</si>
  <si>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</si>
  <si>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</si>
  <si>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</si>
  <si>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</si>
  <si>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</si>
  <si>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</si>
  <si>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</si>
  <si>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</si>
  <si>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</si>
  <si>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</si>
  <si>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2025-01</t>
  </si>
  <si>
    <t>2025-02</t>
  </si>
  <si>
    <t>2025-03</t>
  </si>
  <si>
    <t>2025-04</t>
  </si>
  <si>
    <t>2025-05</t>
  </si>
  <si>
    <t>2025-06</t>
  </si>
  <si>
    <t>Revenue Cohort (NRR per cohort)</t>
  </si>
  <si>
    <t>Cohort \ Months</t>
  </si>
  <si>
    <t>Dashboard — SaaS Unit Economics</t>
  </si>
  <si>
    <t>CAC Payback</t>
  </si>
  <si>
    <t>Gross Margin</t>
  </si>
  <si>
    <t>NRR</t>
  </si>
  <si>
    <t>GRR</t>
  </si>
  <si>
    <t>ARPA ($/mo)</t>
  </si>
  <si>
    <t>ACV ($)</t>
  </si>
  <si>
    <t>Chart Data</t>
  </si>
  <si>
    <t>LTV (GM-adj)</t>
  </si>
  <si>
    <t>CAC</t>
  </si>
  <si>
    <t>3× CAC (target line)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</si>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</sst>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#,##0"/>
    <numFmt numFmtId="168" formatCode="#,##0.0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64" fontId="0" fillId="5" borderId="3" xfId="0" applyNumberFormat="1" applyFill="1" applyBorder="1" applyProtection="1">
      <protection locked="0"/>
    </xf>
    <xf numFmtId="165" fontId="0" fillId="5" borderId="3" xfId="0" applyNumberFormat="1" applyFill="1" applyBorder="1" applyProtection="1">
      <protection locked="0"/>
    </xf>
    <xf numFmtId="164" fontId="0" fillId="6" borderId="3" xfId="0" applyNumberFormat="1" applyFill="1" applyBorder="1"/>
    <xf numFmtId="166" fontId="0" fillId="6" borderId="3" xfId="0" applyNumberFormat="1" applyFill="1" applyBorder="1"/>
    <xf numFmtId="165" fontId="0" fillId="6" borderId="3" xfId="0" applyNumberFormat="1" applyFill="1" applyBorder="1"/>
    <xf numFmtId="165" fontId="2" fillId="7" borderId="2" xfId="0" applyNumberFormat="1" applyFont="1" applyFill="1" applyBorder="1"/>
    <xf numFmtId="166" fontId="0" fillId="5" borderId="3" xfId="0" applyNumberFormat="1" applyFill="1" applyBorder="1" applyProtection="1">
      <protection locked="0"/>
    </xf>
    <xf numFmtId="166" fontId="2" fillId="7" borderId="2" xfId="0" applyNumberFormat="1" applyFont="1" applyFill="1" applyBorder="1"/>
    <xf numFmtId="167" fontId="0" fillId="5" borderId="3" xfId="0" applyNumberFormat="1" applyFill="1" applyBorder="1" applyProtection="1">
      <protection locked="0"/>
    </xf>
    <xf numFmtId="168" fontId="0" fillId="5" borderId="3" xfId="0" applyNumberFormat="1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6" fillId="4" borderId="2" xfId="0" applyFont="1" applyFill="1" applyBorder="1" applyAlignment="1">
      <alignment horizontal="center" vertical="center" wrapText="1"/>
    </xf>
    <xf numFmtId="168" fontId="0" fillId="6" borderId="3" xfId="0" applyNumberFormat="1" applyFill="1" applyBorder="1"/>
    <xf numFmtId="0" fontId="6" fillId="2" borderId="2" xfId="0" applyFont="1" applyFill="1" applyBorder="1" applyAlignment="1">
      <alignment horizontal="left" vertical="center"/>
    </xf>
    <xf numFmtId="168" fontId="7" fillId="6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LTV vs CAC vs 3× CAC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USD</c:v>
          </c:tx>
          <c:spPr>
            <a:solidFill>
              <a:srgbClr val="1F3864"/>
            </a:solidFill>
          </c:spPr>
          <c:cat>
            <c:strRef>
              <c:f>Dashboard!$A$22:$A$24</c:f>
              <c:strCache>
                <c:ptCount val="3"/>
                <c:pt idx="0">
                  <c:v>LTV (GM-adj)</c:v>
                </c:pt>
                <c:pt idx="1">
                  <c:v>CAC</c:v>
                </c:pt>
                <c:pt idx="2">
                  <c:v>3× CAC (target line)</c:v>
                </c:pt>
              </c:strCache>
            </c:strRef>
          </c:cat>
          <c:val>
            <c:numRef>
              <c:f>Dashboard!$B$22:$B$24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Cohort — Smile Curve Test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 Retention (illustrative cohort)</c:v>
          </c:tx>
          <c:spPr>
            <a:ln w="31750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cat>
            <c:strRef>
              <c:f>Cohort!$B$15:$Z$15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Cohort!$B$16:$Z$16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acquisition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M0 Revenue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Logo Cohort Retention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Logo Retention</c:v>
          </c:tx>
          <c:spPr>
            <a:ln w="31750">
              <a:solidFill>
                <a:srgbClr val="C65911"/>
              </a:solidFill>
            </a:ln>
          </c:spPr>
          <c:marker>
            <c:symbol val="none"/>
          </c:marker>
          <c:cat>
            <c:strRef>
              <c:f>Cohort!$B$5:$Z$5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Cohort!$B$6:$Z$6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acquisition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retained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66675</xdr:colOff>
      <xdr:row>11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9</xdr:col>
      <xdr:colOff>523875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9</xdr:col>
      <xdr:colOff>523875</xdr:colOff>
      <xdr:row>51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7" spans="1:2">
      <c r="A17" s="2" t="s">
        <v>22</v>
      </c>
      <c r="B17" s="3" t="s">
        <v>23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42.7109375" customWidth="1"/>
    <col min="2" max="3" width="16.7109375" customWidth="1"/>
    <col min="4" max="4" width="60.7109375" customWidth="1"/>
  </cols>
  <sheetData>
    <row r="1" spans="1:4" ht="28" customHeight="1">
      <c r="A1" s="1" t="s">
        <v>24</v>
      </c>
      <c r="B1" s="1"/>
      <c r="C1" s="1"/>
      <c r="D1" s="1"/>
    </row>
    <row r="2" spans="1:4">
      <c r="A2" s="5" t="s">
        <v>25</v>
      </c>
    </row>
    <row r="4" spans="1:4">
      <c r="A4" s="4" t="s">
        <v>26</v>
      </c>
      <c r="B4" s="4"/>
      <c r="C4" s="4"/>
      <c r="D4" s="4"/>
    </row>
    <row r="5" spans="1:4">
      <c r="A5" s="2" t="s">
        <v>27</v>
      </c>
      <c r="B5" s="6">
        <v>0</v>
      </c>
      <c r="D5" s="3" t="s">
        <v>28</v>
      </c>
    </row>
    <row r="6" spans="1:4">
      <c r="A6" s="2" t="s">
        <v>29</v>
      </c>
      <c r="B6" s="6">
        <v>79</v>
      </c>
      <c r="D6" s="3" t="s">
        <v>30</v>
      </c>
    </row>
    <row r="7" spans="1:4">
      <c r="A7" s="2" t="s">
        <v>31</v>
      </c>
      <c r="B7" s="6">
        <v>499</v>
      </c>
      <c r="D7" s="3" t="s">
        <v>32</v>
      </c>
    </row>
    <row r="8" spans="1:4">
      <c r="A8" s="2" t="s">
        <v>33</v>
      </c>
      <c r="B8" s="7">
        <v>0.2</v>
      </c>
      <c r="D8" s="3" t="s">
        <v>34</v>
      </c>
    </row>
    <row r="9" spans="1:4">
      <c r="A9" s="2" t="s">
        <v>35</v>
      </c>
      <c r="B9" s="7">
        <v>0.6</v>
      </c>
      <c r="D9" s="3"/>
    </row>
    <row r="10" spans="1:4">
      <c r="A10" s="2" t="s">
        <v>36</v>
      </c>
      <c r="B10" s="7">
        <v>0.2</v>
      </c>
      <c r="D10" s="3"/>
    </row>
    <row r="11" spans="1:4">
      <c r="A11" s="2" t="s">
        <v>37</v>
      </c>
      <c r="B11" s="8">
        <f>B5*B8+B6*B9+B7*B10</f>
        <v>0</v>
      </c>
      <c r="D11" s="3" t="s">
        <v>38</v>
      </c>
    </row>
    <row r="12" spans="1:4">
      <c r="A12" s="2" t="s">
        <v>39</v>
      </c>
      <c r="B12" s="9">
        <f>B11*12</f>
        <v>0</v>
      </c>
      <c r="D12" s="3" t="s">
        <v>40</v>
      </c>
    </row>
    <row r="14" spans="1:4">
      <c r="A14" s="4" t="s">
        <v>41</v>
      </c>
      <c r="B14" s="4"/>
      <c r="C14" s="4"/>
      <c r="D14" s="4"/>
    </row>
    <row r="15" spans="1:4">
      <c r="A15" s="2" t="s">
        <v>42</v>
      </c>
      <c r="B15" s="7">
        <v>0.08</v>
      </c>
    </row>
    <row r="16" spans="1:4">
      <c r="A16" s="2" t="s">
        <v>43</v>
      </c>
      <c r="B16" s="7">
        <v>0.06</v>
      </c>
    </row>
    <row r="17" spans="1:4">
      <c r="A17" s="2" t="s">
        <v>44</v>
      </c>
      <c r="B17" s="7">
        <v>0.025</v>
      </c>
    </row>
    <row r="18" spans="1:4">
      <c r="A18" s="2" t="s">
        <v>45</v>
      </c>
      <c r="B18" s="7">
        <v>0.04</v>
      </c>
    </row>
    <row r="19" spans="1:4">
      <c r="A19" s="2" t="s">
        <v>46</v>
      </c>
      <c r="B19" s="7">
        <v>0.05</v>
      </c>
    </row>
    <row r="20" spans="1:4">
      <c r="A20" s="2" t="s">
        <v>47</v>
      </c>
      <c r="B20" s="10">
        <f>SUM(B15:B19)</f>
        <v>0</v>
      </c>
    </row>
    <row r="21" spans="1:4">
      <c r="A21" s="2" t="s">
        <v>48</v>
      </c>
      <c r="B21" s="11">
        <f>1-B20</f>
        <v>0</v>
      </c>
    </row>
    <row r="23" spans="1:4">
      <c r="A23" s="4" t="s">
        <v>49</v>
      </c>
      <c r="B23" s="4"/>
      <c r="C23" s="4"/>
      <c r="D23" s="4"/>
    </row>
    <row r="24" spans="1:4">
      <c r="A24" s="2" t="s">
        <v>50</v>
      </c>
      <c r="B24" s="7">
        <v>0.025</v>
      </c>
    </row>
    <row r="25" spans="1:4">
      <c r="A25" s="2" t="s">
        <v>51</v>
      </c>
      <c r="B25" s="7">
        <v>0.02</v>
      </c>
    </row>
    <row r="26" spans="1:4">
      <c r="A26" s="2" t="s">
        <v>52</v>
      </c>
      <c r="B26" s="7">
        <v>0.012</v>
      </c>
    </row>
    <row r="27" spans="1:4">
      <c r="A27" s="2" t="s">
        <v>53</v>
      </c>
      <c r="B27" s="7">
        <v>0.004</v>
      </c>
    </row>
    <row r="28" spans="1:4">
      <c r="A28" s="2" t="s">
        <v>54</v>
      </c>
      <c r="B28" s="7">
        <v>0.004</v>
      </c>
    </row>
    <row r="30" spans="1:4">
      <c r="A30" s="4" t="s">
        <v>55</v>
      </c>
      <c r="B30" s="4"/>
      <c r="C30" s="4"/>
      <c r="D30" s="4"/>
    </row>
    <row r="31" spans="1:4">
      <c r="A31" s="2" t="s">
        <v>56</v>
      </c>
      <c r="B31" s="12">
        <v>1200</v>
      </c>
    </row>
    <row r="32" spans="1:4">
      <c r="A32" s="2" t="s">
        <v>57</v>
      </c>
      <c r="B32" s="12">
        <v>400</v>
      </c>
    </row>
    <row r="33" spans="1:4">
      <c r="A33" s="2" t="s">
        <v>58</v>
      </c>
      <c r="B33" s="12">
        <v>1800</v>
      </c>
    </row>
    <row r="34" spans="1:4">
      <c r="A34" s="2" t="s">
        <v>59</v>
      </c>
      <c r="B34" s="12">
        <v>250</v>
      </c>
    </row>
    <row r="35" spans="1:4">
      <c r="A35" s="2" t="s">
        <v>60</v>
      </c>
      <c r="B35" s="7">
        <v>0.25</v>
      </c>
    </row>
    <row r="36" spans="1:4">
      <c r="A36" s="2" t="s">
        <v>61</v>
      </c>
      <c r="B36" s="7">
        <v>0.4</v>
      </c>
    </row>
    <row r="37" spans="1:4">
      <c r="A37" s="2" t="s">
        <v>62</v>
      </c>
      <c r="B37" s="7">
        <v>0.25</v>
      </c>
    </row>
    <row r="38" spans="1:4">
      <c r="A38" s="2" t="s">
        <v>63</v>
      </c>
      <c r="B38" s="7">
        <v>0.1</v>
      </c>
    </row>
    <row r="39" spans="1:4">
      <c r="A39" s="2" t="s">
        <v>64</v>
      </c>
      <c r="B39" s="13">
        <f>B31*B35+B32*B36+B33*B37+B34*B38</f>
        <v>0</v>
      </c>
    </row>
    <row r="40" spans="1:4">
      <c r="A40" s="2" t="s">
        <v>65</v>
      </c>
      <c r="B40" s="14">
        <v>50</v>
      </c>
    </row>
    <row r="41" spans="1:4">
      <c r="A41" s="2" t="s">
        <v>66</v>
      </c>
      <c r="B41" s="12">
        <v>60000</v>
      </c>
    </row>
    <row r="42" spans="1:4">
      <c r="A42" s="2" t="s">
        <v>67</v>
      </c>
      <c r="B42" s="12">
        <v>55000</v>
      </c>
    </row>
    <row r="43" spans="1:4">
      <c r="A43" s="2" t="s">
        <v>68</v>
      </c>
      <c r="B43" s="12">
        <v>90000</v>
      </c>
    </row>
    <row r="44" spans="1:4">
      <c r="A44" s="2" t="s">
        <v>69</v>
      </c>
      <c r="B44" s="12">
        <v>75000</v>
      </c>
    </row>
    <row r="45" spans="1:4">
      <c r="A45" s="2" t="s">
        <v>70</v>
      </c>
      <c r="B45" s="7">
        <v>1.2</v>
      </c>
    </row>
    <row r="46" spans="1:4">
      <c r="A46" s="2" t="s">
        <v>71</v>
      </c>
      <c r="B46" s="7">
        <v>-0.2</v>
      </c>
    </row>
    <row r="48" spans="1:4">
      <c r="A48" s="4" t="s">
        <v>72</v>
      </c>
      <c r="B48" s="4"/>
      <c r="C48" s="4"/>
      <c r="D48" s="4"/>
    </row>
    <row r="49" spans="1:4">
      <c r="A49" s="2" t="s">
        <v>73</v>
      </c>
      <c r="B49" s="15">
        <v>3</v>
      </c>
    </row>
    <row r="50" spans="1:4">
      <c r="A50" s="2" t="s">
        <v>74</v>
      </c>
      <c r="B50" s="14">
        <v>18</v>
      </c>
    </row>
    <row r="51" spans="1:4">
      <c r="A51" s="2" t="s">
        <v>75</v>
      </c>
      <c r="B51" s="7">
        <v>0.3</v>
      </c>
    </row>
    <row r="52" spans="1:4">
      <c r="A52" s="2" t="s">
        <v>76</v>
      </c>
      <c r="B52" s="7">
        <v>1.1</v>
      </c>
    </row>
    <row r="53" spans="1:4">
      <c r="A53" s="2" t="s">
        <v>77</v>
      </c>
      <c r="B53" s="15">
        <v>2</v>
      </c>
    </row>
    <row r="54" spans="1:4">
      <c r="A54" s="2" t="s">
        <v>78</v>
      </c>
      <c r="B54" s="15">
        <v>2</v>
      </c>
    </row>
    <row r="56" spans="1:4">
      <c r="A56" s="4" t="s">
        <v>79</v>
      </c>
      <c r="B56" s="4"/>
      <c r="C56" s="4"/>
      <c r="D56" s="4"/>
    </row>
    <row r="57" spans="1:4">
      <c r="A57" s="2" t="s">
        <v>80</v>
      </c>
      <c r="B57" s="16" t="s">
        <v>81</v>
      </c>
    </row>
    <row r="58" spans="1:4">
      <c r="A58" s="2" t="s">
        <v>82</v>
      </c>
      <c r="B58" s="15">
        <v>3800</v>
      </c>
    </row>
    <row r="59" spans="1:4">
      <c r="A59" s="2" t="s">
        <v>83</v>
      </c>
      <c r="B59" s="7">
        <v>0.05</v>
      </c>
    </row>
  </sheetData>
  <mergeCells count="7">
    <mergeCell ref="A1:D1"/>
    <mergeCell ref="A4:D4"/>
    <mergeCell ref="A14:D14"/>
    <mergeCell ref="A23:D23"/>
    <mergeCell ref="A30:D30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44.7109375" customWidth="1"/>
    <col min="2" max="2" width="18.7109375" customWidth="1"/>
    <col min="3" max="3" width="14.7109375" customWidth="1"/>
    <col min="4" max="4" width="18.7109375" customWidth="1"/>
    <col min="5" max="5" width="60.7109375" customWidth="1"/>
  </cols>
  <sheetData>
    <row r="1" spans="1:5" ht="28" customHeight="1">
      <c r="A1" s="1" t="s">
        <v>84</v>
      </c>
      <c r="B1" s="1"/>
      <c r="C1" s="1"/>
      <c r="D1" s="1"/>
      <c r="E1" s="1"/>
    </row>
    <row r="2" spans="1:5">
      <c r="A2" s="5" t="s">
        <v>85</v>
      </c>
    </row>
    <row r="3" spans="1:5">
      <c r="A3" s="17" t="s">
        <v>86</v>
      </c>
      <c r="B3" s="17" t="s">
        <v>87</v>
      </c>
      <c r="C3" s="17" t="s">
        <v>88</v>
      </c>
      <c r="D3" s="17" t="s">
        <v>89</v>
      </c>
      <c r="E3" s="17" t="s">
        <v>90</v>
      </c>
    </row>
    <row r="4" spans="1:5">
      <c r="A4" s="2" t="s">
        <v>91</v>
      </c>
      <c r="B4" s="18">
        <f>Blended_ARPA</f>
        <v>0</v>
      </c>
      <c r="C4" s="18" t="s">
        <v>92</v>
      </c>
      <c r="D4" s="18" t="s">
        <v>93</v>
      </c>
      <c r="E4" s="3" t="s">
        <v>94</v>
      </c>
    </row>
    <row r="5" spans="1:5">
      <c r="A5" s="2" t="s">
        <v>95</v>
      </c>
      <c r="B5" s="9">
        <f>ACV</f>
        <v>0</v>
      </c>
      <c r="C5" s="18" t="s">
        <v>96</v>
      </c>
      <c r="D5" s="18" t="s">
        <v>93</v>
      </c>
      <c r="E5" s="3" t="s">
        <v>97</v>
      </c>
    </row>
    <row r="6" spans="1:5">
      <c r="A6" s="2" t="s">
        <v>98</v>
      </c>
      <c r="B6" s="10">
        <f>GM_Pct</f>
        <v>0</v>
      </c>
      <c r="C6" s="18" t="s">
        <v>99</v>
      </c>
      <c r="D6" s="18" t="s">
        <v>100</v>
      </c>
      <c r="E6" s="3" t="s">
        <v>101</v>
      </c>
    </row>
    <row r="7" spans="1:5">
      <c r="A7" s="2" t="s">
        <v>102</v>
      </c>
      <c r="B7" s="9">
        <f>Blended_ARPA/Logo_Churn</f>
        <v>0</v>
      </c>
      <c r="C7" s="18" t="s">
        <v>96</v>
      </c>
      <c r="D7" s="18" t="s">
        <v>93</v>
      </c>
      <c r="E7" s="3" t="s">
        <v>103</v>
      </c>
    </row>
    <row r="8" spans="1:5">
      <c r="A8" s="2" t="s">
        <v>104</v>
      </c>
      <c r="B8" s="9">
        <f>Blended_ARPA*GM_Pct/Logo_Churn</f>
        <v>0</v>
      </c>
      <c r="C8" s="18" t="s">
        <v>96</v>
      </c>
      <c r="D8" s="18" t="s">
        <v>93</v>
      </c>
      <c r="E8" s="3" t="s">
        <v>105</v>
      </c>
    </row>
    <row r="9" spans="1:5">
      <c r="A9" s="2" t="s">
        <v>106</v>
      </c>
      <c r="B9" s="9">
        <f>IF(Logo_Churn-Expansion_Rate&gt;0, Blended_ARPA*GM_Pct/(Logo_Churn-Expansion_Rate), Blended_ARPA*GM_Pct*60)</f>
        <v>0</v>
      </c>
      <c r="C9" s="18" t="s">
        <v>96</v>
      </c>
      <c r="D9" s="18" t="s">
        <v>107</v>
      </c>
      <c r="E9" s="3" t="s">
        <v>108</v>
      </c>
    </row>
    <row r="10" spans="1:5">
      <c r="A10" s="2" t="s">
        <v>109</v>
      </c>
      <c r="B10" s="9">
        <f>Blended_CAC</f>
        <v>0</v>
      </c>
      <c r="C10" s="18" t="s">
        <v>96</v>
      </c>
      <c r="D10" s="18" t="s">
        <v>93</v>
      </c>
      <c r="E10" s="3" t="s">
        <v>110</v>
      </c>
    </row>
    <row r="11" spans="1:5">
      <c r="A11" s="2" t="s">
        <v>111</v>
      </c>
      <c r="B11" s="18">
        <f>Blended_CAC/(Blended_ARPA*GM_Pct)</f>
        <v>0</v>
      </c>
      <c r="C11" s="18" t="s">
        <v>112</v>
      </c>
      <c r="D11" s="18" t="s">
        <v>113</v>
      </c>
      <c r="E11" s="3" t="s">
        <v>114</v>
      </c>
    </row>
    <row r="12" spans="1:5">
      <c r="A12" s="2" t="s">
        <v>115</v>
      </c>
      <c r="B12" s="18">
        <f>(Blended_ARPA*GM_Pct/Logo_Churn)/Blended_CAC</f>
        <v>0</v>
      </c>
      <c r="C12" s="18" t="s">
        <v>116</v>
      </c>
      <c r="D12" s="18" t="s">
        <v>117</v>
      </c>
      <c r="E12" s="3" t="s">
        <v>118</v>
      </c>
    </row>
    <row r="13" spans="1:5">
      <c r="A13" s="2" t="s">
        <v>119</v>
      </c>
      <c r="B13" s="10">
        <f>MAX(0, 1-Rev_Churn*12)</f>
        <v>0</v>
      </c>
      <c r="C13" s="18" t="s">
        <v>99</v>
      </c>
      <c r="D13" s="18" t="s">
        <v>120</v>
      </c>
      <c r="E13" s="3" t="s">
        <v>121</v>
      </c>
    </row>
    <row r="14" spans="1:5">
      <c r="A14" s="2" t="s">
        <v>122</v>
      </c>
      <c r="B14" s="10">
        <f>1+(Expansion_Rate-Rev_Churn-Contraction_Rate)*12</f>
        <v>0</v>
      </c>
      <c r="C14" s="18" t="s">
        <v>99</v>
      </c>
      <c r="D14" s="18" t="s">
        <v>123</v>
      </c>
      <c r="E14" s="3" t="s">
        <v>124</v>
      </c>
    </row>
    <row r="15" spans="1:5">
      <c r="A15" s="2" t="s">
        <v>125</v>
      </c>
      <c r="B15" s="18">
        <f>(Net_New_ARR*4)/Prior_SM</f>
        <v>0</v>
      </c>
      <c r="C15" s="18" t="s">
        <v>116</v>
      </c>
      <c r="D15" s="18" t="s">
        <v>126</v>
      </c>
      <c r="E15" s="3" t="s">
        <v>127</v>
      </c>
    </row>
    <row r="16" spans="1:5">
      <c r="A16" s="2" t="s">
        <v>128</v>
      </c>
      <c r="B16" s="10">
        <f>YoY_Growth+EBITDA_Margin</f>
        <v>0</v>
      </c>
      <c r="C16" s="18" t="s">
        <v>99</v>
      </c>
      <c r="D16" s="18" t="s">
        <v>129</v>
      </c>
      <c r="E16" s="3" t="s">
        <v>130</v>
      </c>
    </row>
    <row r="17" spans="1:5">
      <c r="A17" s="2" t="s">
        <v>131</v>
      </c>
      <c r="B17" s="18">
        <f>IF(Net_New_ARR&gt;0, Net_Burn/Net_New_ARR, 999)</f>
        <v>0</v>
      </c>
      <c r="C17" s="18" t="s">
        <v>116</v>
      </c>
      <c r="D17" s="18" t="s">
        <v>132</v>
      </c>
      <c r="E17" s="3" t="s">
        <v>133</v>
      </c>
    </row>
    <row r="18" spans="1:5">
      <c r="A18" s="2" t="s">
        <v>134</v>
      </c>
      <c r="B18" s="18">
        <f>(Net_New_ARR/3+Expansion_Rate*Blended_ARPA*New_Logos)/((Rev_Churn+Contraction_Rate)*Blended_ARPA*New_Logos+0.0001)</f>
        <v>0</v>
      </c>
      <c r="C18" s="18" t="s">
        <v>116</v>
      </c>
      <c r="D18" s="18" t="s">
        <v>135</v>
      </c>
      <c r="E18" s="3" t="s">
        <v>136</v>
      </c>
    </row>
    <row r="19" spans="1:5">
      <c r="A19" s="2" t="s">
        <v>137</v>
      </c>
      <c r="B19" s="10">
        <f>Involuntary_Churn*12</f>
        <v>0</v>
      </c>
      <c r="C19" s="18" t="s">
        <v>99</v>
      </c>
      <c r="D19" s="18" t="s">
        <v>138</v>
      </c>
      <c r="E19" s="3" t="s">
        <v>139</v>
      </c>
    </row>
  </sheetData>
  <mergeCells count="1">
    <mergeCell ref="A1:E1"/>
  </mergeCells>
  <conditionalFormatting sqref="B12">
    <cfRule type="cellIs" dxfId="0" priority="4" operator="lessThanOrEqual">
      <formula>18</formula>
    </cfRule>
    <cfRule type="cellIs" dxfId="1" priority="5" operator="between">
      <formula>18</formula>
      <formula>30</formula>
    </cfRule>
    <cfRule type="cellIs" dxfId="2" priority="6" operator="greaterThan">
      <formula>30</formula>
    </cfRule>
  </conditionalFormatting>
  <conditionalFormatting sqref="B13">
    <cfRule type="cellIs" dxfId="0" priority="1" operator="greaterThanOrEqual">
      <formula>3</formula>
    </cfRule>
    <cfRule type="cellIs" dxfId="1" priority="2" operator="between">
      <formula>1.5</formula>
      <formula>3</formula>
    </cfRule>
    <cfRule type="cellIs" dxfId="2" priority="3" operator="lessThan">
      <formula>1.5</formula>
    </cfRule>
  </conditionalFormatting>
  <conditionalFormatting sqref="B14">
    <cfRule type="cellIs" dxfId="0" priority="7" operator="greaterThanOrEqual">
      <formula>1.1</formula>
    </cfRule>
    <cfRule type="cellIs" dxfId="1" priority="8" operator="between">
      <formula>1.0</formula>
      <formula>1.1</formula>
    </cfRule>
    <cfRule type="cellIs" dxfId="2" priority="9" operator="lessThan">
      <formula>1.0</formula>
    </cfRule>
  </conditionalFormatting>
  <conditionalFormatting sqref="B15">
    <cfRule type="cellIs" dxfId="0" priority="10" operator="greaterThanOrEqual">
      <formula>1.0</formula>
    </cfRule>
    <cfRule type="cellIs" dxfId="1" priority="11" operator="between">
      <formula>0.75</formula>
      <formula>1.0</formula>
    </cfRule>
    <cfRule type="cellIs" dxfId="2" priority="12" operator="lessThan">
      <formula>0.75</formula>
    </cfRule>
  </conditionalFormatting>
  <conditionalFormatting sqref="B16">
    <cfRule type="cellIs" dxfId="0" priority="13" operator="greaterThanOrEqual">
      <formula>0.4</formula>
    </cfRule>
    <cfRule type="cellIs" dxfId="1" priority="14" operator="between">
      <formula>0.3</formula>
      <formula>0.4</formula>
    </cfRule>
    <cfRule type="cellIs" dxfId="2" priority="15" operator="lessThan">
      <formula>0.3</formula>
    </cfRule>
  </conditionalFormatting>
  <conditionalFormatting sqref="B17">
    <cfRule type="cellIs" dxfId="0" priority="16" operator="lessThanOrEqual">
      <formula>1.0</formula>
    </cfRule>
    <cfRule type="cellIs" dxfId="1" priority="17" operator="between">
      <formula>1.0</formula>
      <formula>2.0</formula>
    </cfRule>
    <cfRule type="cellIs" dxfId="2" priority="18" operator="greaterThan">
      <formula>2.0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cols>
    <col min="1" max="1" width="16.7109375" customWidth="1"/>
    <col min="2" max="26" width="9.7109375" customWidth="1"/>
  </cols>
  <sheetData>
    <row r="1" spans="1:26" ht="26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 t="s">
        <v>141</v>
      </c>
    </row>
    <row r="4" spans="1:26">
      <c r="A4" s="4" t="s">
        <v>142</v>
      </c>
    </row>
    <row r="5" spans="1:26">
      <c r="A5" s="17" t="s">
        <v>143</v>
      </c>
      <c r="B5" s="17" t="s">
        <v>144</v>
      </c>
      <c r="C5" s="17" t="s">
        <v>145</v>
      </c>
      <c r="D5" s="17" t="s">
        <v>146</v>
      </c>
      <c r="E5" s="17" t="s">
        <v>147</v>
      </c>
      <c r="F5" s="17" t="s">
        <v>148</v>
      </c>
      <c r="G5" s="17" t="s">
        <v>149</v>
      </c>
      <c r="H5" s="17" t="s">
        <v>150</v>
      </c>
      <c r="I5" s="17" t="s">
        <v>151</v>
      </c>
      <c r="J5" s="17" t="s">
        <v>152</v>
      </c>
      <c r="K5" s="17" t="s">
        <v>153</v>
      </c>
      <c r="L5" s="17" t="s">
        <v>154</v>
      </c>
      <c r="M5" s="17" t="s">
        <v>155</v>
      </c>
      <c r="N5" s="17" t="s">
        <v>156</v>
      </c>
      <c r="O5" s="17" t="s">
        <v>157</v>
      </c>
      <c r="P5" s="17" t="s">
        <v>158</v>
      </c>
      <c r="Q5" s="17" t="s">
        <v>159</v>
      </c>
      <c r="R5" s="17" t="s">
        <v>160</v>
      </c>
      <c r="S5" s="17" t="s">
        <v>161</v>
      </c>
      <c r="T5" s="17" t="s">
        <v>162</v>
      </c>
      <c r="U5" s="17" t="s">
        <v>163</v>
      </c>
      <c r="V5" s="17" t="s">
        <v>164</v>
      </c>
      <c r="W5" s="17" t="s">
        <v>165</v>
      </c>
      <c r="X5" s="17" t="s">
        <v>166</v>
      </c>
      <c r="Y5" s="17" t="s">
        <v>167</v>
      </c>
      <c r="Z5" s="17" t="s">
        <v>168</v>
      </c>
    </row>
    <row r="6" spans="1:26">
      <c r="A6" s="2" t="s">
        <v>169</v>
      </c>
      <c r="B6" s="10">
        <f>(1-Logo_Churn)^0</f>
        <v>0</v>
      </c>
      <c r="C6" s="10">
        <f>(1-Logo_Churn)^1</f>
        <v>0</v>
      </c>
      <c r="D6" s="10">
        <f>(1-Logo_Churn)^2</f>
        <v>0</v>
      </c>
      <c r="E6" s="10">
        <f>(1-Logo_Churn)^3</f>
        <v>0</v>
      </c>
      <c r="F6" s="10">
        <f>(1-Logo_Churn)^4</f>
        <v>0</v>
      </c>
      <c r="G6" s="10">
        <f>(1-Logo_Churn)^5</f>
        <v>0</v>
      </c>
      <c r="H6" s="10">
        <f>(1-Logo_Churn)^6</f>
        <v>0</v>
      </c>
      <c r="I6" s="10">
        <f>(1-Logo_Churn)^7</f>
        <v>0</v>
      </c>
      <c r="J6" s="10">
        <f>(1-Logo_Churn)^8</f>
        <v>0</v>
      </c>
      <c r="K6" s="10">
        <f>(1-Logo_Churn)^9</f>
        <v>0</v>
      </c>
      <c r="L6" s="10">
        <f>(1-Logo_Churn)^10</f>
        <v>0</v>
      </c>
      <c r="M6" s="10">
        <f>(1-Logo_Churn)^11</f>
        <v>0</v>
      </c>
      <c r="N6" s="10">
        <f>(1-Logo_Churn)^12</f>
        <v>0</v>
      </c>
      <c r="O6" s="10">
        <f>(1-Logo_Churn)^13</f>
        <v>0</v>
      </c>
      <c r="P6" s="10">
        <f>(1-Logo_Churn)^14</f>
        <v>0</v>
      </c>
      <c r="Q6" s="10">
        <f>(1-Logo_Churn)^15</f>
        <v>0</v>
      </c>
      <c r="R6" s="10">
        <f>(1-Logo_Churn)^16</f>
        <v>0</v>
      </c>
      <c r="S6" s="10">
        <f>(1-Logo_Churn)^17</f>
        <v>0</v>
      </c>
      <c r="T6" s="10">
        <f>(1-Logo_Churn)^18</f>
        <v>0</v>
      </c>
      <c r="U6" s="10">
        <f>(1-Logo_Churn)^19</f>
        <v>0</v>
      </c>
      <c r="V6" s="10">
        <f>(1-Logo_Churn)^20</f>
        <v>0</v>
      </c>
      <c r="W6" s="10">
        <f>(1-Logo_Churn)^21</f>
        <v>0</v>
      </c>
      <c r="X6" s="10">
        <f>(1-Logo_Churn)^22</f>
        <v>0</v>
      </c>
      <c r="Y6" s="10">
        <f>(1-Logo_Churn)^23</f>
        <v>0</v>
      </c>
      <c r="Z6" s="10">
        <f>(1-Logo_Churn)^24</f>
        <v>0</v>
      </c>
    </row>
    <row r="7" spans="1:26">
      <c r="A7" s="2" t="s">
        <v>170</v>
      </c>
      <c r="B7" s="10">
        <f>(1-Logo_Churn)^0</f>
        <v>0</v>
      </c>
      <c r="C7" s="10">
        <f>(1-Logo_Churn)^1</f>
        <v>0</v>
      </c>
      <c r="D7" s="10">
        <f>(1-Logo_Churn)^2</f>
        <v>0</v>
      </c>
      <c r="E7" s="10">
        <f>(1-Logo_Churn)^3</f>
        <v>0</v>
      </c>
      <c r="F7" s="10">
        <f>(1-Logo_Churn)^4</f>
        <v>0</v>
      </c>
      <c r="G7" s="10">
        <f>(1-Logo_Churn)^5</f>
        <v>0</v>
      </c>
      <c r="H7" s="10">
        <f>(1-Logo_Churn)^6</f>
        <v>0</v>
      </c>
      <c r="I7" s="10">
        <f>(1-Logo_Churn)^7</f>
        <v>0</v>
      </c>
      <c r="J7" s="10">
        <f>(1-Logo_Churn)^8</f>
        <v>0</v>
      </c>
      <c r="K7" s="10">
        <f>(1-Logo_Churn)^9</f>
        <v>0</v>
      </c>
      <c r="L7" s="10">
        <f>(1-Logo_Churn)^10</f>
        <v>0</v>
      </c>
      <c r="M7" s="10">
        <f>(1-Logo_Churn)^11</f>
        <v>0</v>
      </c>
      <c r="N7" s="10">
        <f>(1-Logo_Churn)^12</f>
        <v>0</v>
      </c>
      <c r="O7" s="10">
        <f>(1-Logo_Churn)^13</f>
        <v>0</v>
      </c>
      <c r="P7" s="10">
        <f>(1-Logo_Churn)^14</f>
        <v>0</v>
      </c>
      <c r="Q7" s="10">
        <f>(1-Logo_Churn)^15</f>
        <v>0</v>
      </c>
      <c r="R7" s="10">
        <f>(1-Logo_Churn)^16</f>
        <v>0</v>
      </c>
      <c r="S7" s="10">
        <f>(1-Logo_Churn)^17</f>
        <v>0</v>
      </c>
      <c r="T7" s="10">
        <f>(1-Logo_Churn)^18</f>
        <v>0</v>
      </c>
      <c r="U7" s="10">
        <f>(1-Logo_Churn)^19</f>
        <v>0</v>
      </c>
      <c r="V7" s="10">
        <f>(1-Logo_Churn)^20</f>
        <v>0</v>
      </c>
      <c r="W7" s="10">
        <f>(1-Logo_Churn)^21</f>
        <v>0</v>
      </c>
      <c r="X7" s="10">
        <f>(1-Logo_Churn)^22</f>
        <v>0</v>
      </c>
      <c r="Y7" s="10">
        <f>(1-Logo_Churn)^23</f>
        <v>0</v>
      </c>
      <c r="Z7" s="10">
        <f>(1-Logo_Churn)^24</f>
        <v>0</v>
      </c>
    </row>
    <row r="8" spans="1:26">
      <c r="A8" s="2" t="s">
        <v>171</v>
      </c>
      <c r="B8" s="10">
        <f>(1-Logo_Churn)^0</f>
        <v>0</v>
      </c>
      <c r="C8" s="10">
        <f>(1-Logo_Churn)^1</f>
        <v>0</v>
      </c>
      <c r="D8" s="10">
        <f>(1-Logo_Churn)^2</f>
        <v>0</v>
      </c>
      <c r="E8" s="10">
        <f>(1-Logo_Churn)^3</f>
        <v>0</v>
      </c>
      <c r="F8" s="10">
        <f>(1-Logo_Churn)^4</f>
        <v>0</v>
      </c>
      <c r="G8" s="10">
        <f>(1-Logo_Churn)^5</f>
        <v>0</v>
      </c>
      <c r="H8" s="10">
        <f>(1-Logo_Churn)^6</f>
        <v>0</v>
      </c>
      <c r="I8" s="10">
        <f>(1-Logo_Churn)^7</f>
        <v>0</v>
      </c>
      <c r="J8" s="10">
        <f>(1-Logo_Churn)^8</f>
        <v>0</v>
      </c>
      <c r="K8" s="10">
        <f>(1-Logo_Churn)^9</f>
        <v>0</v>
      </c>
      <c r="L8" s="10">
        <f>(1-Logo_Churn)^10</f>
        <v>0</v>
      </c>
      <c r="M8" s="10">
        <f>(1-Logo_Churn)^11</f>
        <v>0</v>
      </c>
      <c r="N8" s="10">
        <f>(1-Logo_Churn)^12</f>
        <v>0</v>
      </c>
      <c r="O8" s="10">
        <f>(1-Logo_Churn)^13</f>
        <v>0</v>
      </c>
      <c r="P8" s="10">
        <f>(1-Logo_Churn)^14</f>
        <v>0</v>
      </c>
      <c r="Q8" s="10">
        <f>(1-Logo_Churn)^15</f>
        <v>0</v>
      </c>
      <c r="R8" s="10">
        <f>(1-Logo_Churn)^16</f>
        <v>0</v>
      </c>
      <c r="S8" s="10">
        <f>(1-Logo_Churn)^17</f>
        <v>0</v>
      </c>
      <c r="T8" s="10">
        <f>(1-Logo_Churn)^18</f>
        <v>0</v>
      </c>
      <c r="U8" s="10">
        <f>(1-Logo_Churn)^19</f>
        <v>0</v>
      </c>
      <c r="V8" s="10">
        <f>(1-Logo_Churn)^20</f>
        <v>0</v>
      </c>
      <c r="W8" s="10">
        <f>(1-Logo_Churn)^21</f>
        <v>0</v>
      </c>
      <c r="X8" s="10">
        <f>(1-Logo_Churn)^22</f>
        <v>0</v>
      </c>
      <c r="Y8" s="10">
        <f>(1-Logo_Churn)^23</f>
        <v>0</v>
      </c>
      <c r="Z8" s="10">
        <f>(1-Logo_Churn)^24</f>
        <v>0</v>
      </c>
    </row>
    <row r="9" spans="1:26">
      <c r="A9" s="2" t="s">
        <v>172</v>
      </c>
      <c r="B9" s="10">
        <f>(1-Logo_Churn)^0</f>
        <v>0</v>
      </c>
      <c r="C9" s="10">
        <f>(1-Logo_Churn)^1</f>
        <v>0</v>
      </c>
      <c r="D9" s="10">
        <f>(1-Logo_Churn)^2</f>
        <v>0</v>
      </c>
      <c r="E9" s="10">
        <f>(1-Logo_Churn)^3</f>
        <v>0</v>
      </c>
      <c r="F9" s="10">
        <f>(1-Logo_Churn)^4</f>
        <v>0</v>
      </c>
      <c r="G9" s="10">
        <f>(1-Logo_Churn)^5</f>
        <v>0</v>
      </c>
      <c r="H9" s="10">
        <f>(1-Logo_Churn)^6</f>
        <v>0</v>
      </c>
      <c r="I9" s="10">
        <f>(1-Logo_Churn)^7</f>
        <v>0</v>
      </c>
      <c r="J9" s="10">
        <f>(1-Logo_Churn)^8</f>
        <v>0</v>
      </c>
      <c r="K9" s="10">
        <f>(1-Logo_Churn)^9</f>
        <v>0</v>
      </c>
      <c r="L9" s="10">
        <f>(1-Logo_Churn)^10</f>
        <v>0</v>
      </c>
      <c r="M9" s="10">
        <f>(1-Logo_Churn)^11</f>
        <v>0</v>
      </c>
      <c r="N9" s="10">
        <f>(1-Logo_Churn)^12</f>
        <v>0</v>
      </c>
      <c r="O9" s="10">
        <f>(1-Logo_Churn)^13</f>
        <v>0</v>
      </c>
      <c r="P9" s="10">
        <f>(1-Logo_Churn)^14</f>
        <v>0</v>
      </c>
      <c r="Q9" s="10">
        <f>(1-Logo_Churn)^15</f>
        <v>0</v>
      </c>
      <c r="R9" s="10">
        <f>(1-Logo_Churn)^16</f>
        <v>0</v>
      </c>
      <c r="S9" s="10">
        <f>(1-Logo_Churn)^17</f>
        <v>0</v>
      </c>
      <c r="T9" s="10">
        <f>(1-Logo_Churn)^18</f>
        <v>0</v>
      </c>
      <c r="U9" s="10">
        <f>(1-Logo_Churn)^19</f>
        <v>0</v>
      </c>
      <c r="V9" s="10">
        <f>(1-Logo_Churn)^20</f>
        <v>0</v>
      </c>
      <c r="W9" s="10">
        <f>(1-Logo_Churn)^21</f>
        <v>0</v>
      </c>
      <c r="X9" s="10">
        <f>(1-Logo_Churn)^22</f>
        <v>0</v>
      </c>
      <c r="Y9" s="10">
        <f>(1-Logo_Churn)^23</f>
        <v>0</v>
      </c>
      <c r="Z9" s="10">
        <f>(1-Logo_Churn)^24</f>
        <v>0</v>
      </c>
    </row>
    <row r="10" spans="1:26">
      <c r="A10" s="2" t="s">
        <v>173</v>
      </c>
      <c r="B10" s="10">
        <f>(1-Logo_Churn)^0</f>
        <v>0</v>
      </c>
      <c r="C10" s="10">
        <f>(1-Logo_Churn)^1</f>
        <v>0</v>
      </c>
      <c r="D10" s="10">
        <f>(1-Logo_Churn)^2</f>
        <v>0</v>
      </c>
      <c r="E10" s="10">
        <f>(1-Logo_Churn)^3</f>
        <v>0</v>
      </c>
      <c r="F10" s="10">
        <f>(1-Logo_Churn)^4</f>
        <v>0</v>
      </c>
      <c r="G10" s="10">
        <f>(1-Logo_Churn)^5</f>
        <v>0</v>
      </c>
      <c r="H10" s="10">
        <f>(1-Logo_Churn)^6</f>
        <v>0</v>
      </c>
      <c r="I10" s="10">
        <f>(1-Logo_Churn)^7</f>
        <v>0</v>
      </c>
      <c r="J10" s="10">
        <f>(1-Logo_Churn)^8</f>
        <v>0</v>
      </c>
      <c r="K10" s="10">
        <f>(1-Logo_Churn)^9</f>
        <v>0</v>
      </c>
      <c r="L10" s="10">
        <f>(1-Logo_Churn)^10</f>
        <v>0</v>
      </c>
      <c r="M10" s="10">
        <f>(1-Logo_Churn)^11</f>
        <v>0</v>
      </c>
      <c r="N10" s="10">
        <f>(1-Logo_Churn)^12</f>
        <v>0</v>
      </c>
      <c r="O10" s="10">
        <f>(1-Logo_Churn)^13</f>
        <v>0</v>
      </c>
      <c r="P10" s="10">
        <f>(1-Logo_Churn)^14</f>
        <v>0</v>
      </c>
      <c r="Q10" s="10">
        <f>(1-Logo_Churn)^15</f>
        <v>0</v>
      </c>
      <c r="R10" s="10">
        <f>(1-Logo_Churn)^16</f>
        <v>0</v>
      </c>
      <c r="S10" s="10">
        <f>(1-Logo_Churn)^17</f>
        <v>0</v>
      </c>
      <c r="T10" s="10">
        <f>(1-Logo_Churn)^18</f>
        <v>0</v>
      </c>
      <c r="U10" s="10">
        <f>(1-Logo_Churn)^19</f>
        <v>0</v>
      </c>
      <c r="V10" s="10">
        <f>(1-Logo_Churn)^20</f>
        <v>0</v>
      </c>
      <c r="W10" s="10">
        <f>(1-Logo_Churn)^21</f>
        <v>0</v>
      </c>
      <c r="X10" s="10">
        <f>(1-Logo_Churn)^22</f>
        <v>0</v>
      </c>
      <c r="Y10" s="10">
        <f>(1-Logo_Churn)^23</f>
        <v>0</v>
      </c>
      <c r="Z10" s="10">
        <f>(1-Logo_Churn)^24</f>
        <v>0</v>
      </c>
    </row>
    <row r="11" spans="1:26">
      <c r="A11" s="2" t="s">
        <v>174</v>
      </c>
      <c r="B11" s="10">
        <f>(1-Logo_Churn)^0</f>
        <v>0</v>
      </c>
      <c r="C11" s="10">
        <f>(1-Logo_Churn)^1</f>
        <v>0</v>
      </c>
      <c r="D11" s="10">
        <f>(1-Logo_Churn)^2</f>
        <v>0</v>
      </c>
      <c r="E11" s="10">
        <f>(1-Logo_Churn)^3</f>
        <v>0</v>
      </c>
      <c r="F11" s="10">
        <f>(1-Logo_Churn)^4</f>
        <v>0</v>
      </c>
      <c r="G11" s="10">
        <f>(1-Logo_Churn)^5</f>
        <v>0</v>
      </c>
      <c r="H11" s="10">
        <f>(1-Logo_Churn)^6</f>
        <v>0</v>
      </c>
      <c r="I11" s="10">
        <f>(1-Logo_Churn)^7</f>
        <v>0</v>
      </c>
      <c r="J11" s="10">
        <f>(1-Logo_Churn)^8</f>
        <v>0</v>
      </c>
      <c r="K11" s="10">
        <f>(1-Logo_Churn)^9</f>
        <v>0</v>
      </c>
      <c r="L11" s="10">
        <f>(1-Logo_Churn)^10</f>
        <v>0</v>
      </c>
      <c r="M11" s="10">
        <f>(1-Logo_Churn)^11</f>
        <v>0</v>
      </c>
      <c r="N11" s="10">
        <f>(1-Logo_Churn)^12</f>
        <v>0</v>
      </c>
      <c r="O11" s="10">
        <f>(1-Logo_Churn)^13</f>
        <v>0</v>
      </c>
      <c r="P11" s="10">
        <f>(1-Logo_Churn)^14</f>
        <v>0</v>
      </c>
      <c r="Q11" s="10">
        <f>(1-Logo_Churn)^15</f>
        <v>0</v>
      </c>
      <c r="R11" s="10">
        <f>(1-Logo_Churn)^16</f>
        <v>0</v>
      </c>
      <c r="S11" s="10">
        <f>(1-Logo_Churn)^17</f>
        <v>0</v>
      </c>
      <c r="T11" s="10">
        <f>(1-Logo_Churn)^18</f>
        <v>0</v>
      </c>
      <c r="U11" s="10">
        <f>(1-Logo_Churn)^19</f>
        <v>0</v>
      </c>
      <c r="V11" s="10">
        <f>(1-Logo_Churn)^20</f>
        <v>0</v>
      </c>
      <c r="W11" s="10">
        <f>(1-Logo_Churn)^21</f>
        <v>0</v>
      </c>
      <c r="X11" s="10">
        <f>(1-Logo_Churn)^22</f>
        <v>0</v>
      </c>
      <c r="Y11" s="10">
        <f>(1-Logo_Churn)^23</f>
        <v>0</v>
      </c>
      <c r="Z11" s="10">
        <f>(1-Logo_Churn)^24</f>
        <v>0</v>
      </c>
    </row>
    <row r="14" spans="1:26">
      <c r="A14" s="4" t="s">
        <v>175</v>
      </c>
    </row>
    <row r="15" spans="1:26">
      <c r="A15" s="17" t="s">
        <v>176</v>
      </c>
      <c r="B15" s="17" t="s">
        <v>144</v>
      </c>
      <c r="C15" s="17" t="s">
        <v>145</v>
      </c>
      <c r="D15" s="17" t="s">
        <v>146</v>
      </c>
      <c r="E15" s="17" t="s">
        <v>147</v>
      </c>
      <c r="F15" s="17" t="s">
        <v>148</v>
      </c>
      <c r="G15" s="17" t="s">
        <v>149</v>
      </c>
      <c r="H15" s="17" t="s">
        <v>150</v>
      </c>
      <c r="I15" s="17" t="s">
        <v>151</v>
      </c>
      <c r="J15" s="17" t="s">
        <v>152</v>
      </c>
      <c r="K15" s="17" t="s">
        <v>153</v>
      </c>
      <c r="L15" s="17" t="s">
        <v>154</v>
      </c>
      <c r="M15" s="17" t="s">
        <v>155</v>
      </c>
      <c r="N15" s="17" t="s">
        <v>156</v>
      </c>
      <c r="O15" s="17" t="s">
        <v>157</v>
      </c>
      <c r="P15" s="17" t="s">
        <v>158</v>
      </c>
      <c r="Q15" s="17" t="s">
        <v>159</v>
      </c>
      <c r="R15" s="17" t="s">
        <v>160</v>
      </c>
      <c r="S15" s="17" t="s">
        <v>161</v>
      </c>
      <c r="T15" s="17" t="s">
        <v>162</v>
      </c>
      <c r="U15" s="17" t="s">
        <v>163</v>
      </c>
      <c r="V15" s="17" t="s">
        <v>164</v>
      </c>
      <c r="W15" s="17" t="s">
        <v>165</v>
      </c>
      <c r="X15" s="17" t="s">
        <v>166</v>
      </c>
      <c r="Y15" s="17" t="s">
        <v>167</v>
      </c>
      <c r="Z15" s="17" t="s">
        <v>168</v>
      </c>
    </row>
    <row r="16" spans="1:26">
      <c r="A16" s="2" t="s">
        <v>169</v>
      </c>
      <c r="B16" s="10">
        <f>(1+Expansion_Rate-Rev_Churn-Contraction_Rate)^0</f>
        <v>0</v>
      </c>
      <c r="C16" s="10">
        <f>(1+Expansion_Rate-Rev_Churn-Contraction_Rate)^1</f>
        <v>0</v>
      </c>
      <c r="D16" s="10">
        <f>(1+Expansion_Rate-Rev_Churn-Contraction_Rate)^2</f>
        <v>0</v>
      </c>
      <c r="E16" s="10">
        <f>(1+Expansion_Rate-Rev_Churn-Contraction_Rate)^3</f>
        <v>0</v>
      </c>
      <c r="F16" s="10">
        <f>(1+Expansion_Rate-Rev_Churn-Contraction_Rate)^4</f>
        <v>0</v>
      </c>
      <c r="G16" s="10">
        <f>(1+Expansion_Rate-Rev_Churn-Contraction_Rate)^5</f>
        <v>0</v>
      </c>
      <c r="H16" s="10">
        <f>(1+Expansion_Rate-Rev_Churn-Contraction_Rate)^6</f>
        <v>0</v>
      </c>
      <c r="I16" s="10">
        <f>(1+Expansion_Rate-Rev_Churn-Contraction_Rate)^7</f>
        <v>0</v>
      </c>
      <c r="J16" s="10">
        <f>(1+Expansion_Rate-Rev_Churn-Contraction_Rate)^8</f>
        <v>0</v>
      </c>
      <c r="K16" s="10">
        <f>(1+Expansion_Rate-Rev_Churn-Contraction_Rate)^9</f>
        <v>0</v>
      </c>
      <c r="L16" s="10">
        <f>(1+Expansion_Rate-Rev_Churn-Contraction_Rate)^10</f>
        <v>0</v>
      </c>
      <c r="M16" s="10">
        <f>(1+Expansion_Rate-Rev_Churn-Contraction_Rate)^11</f>
        <v>0</v>
      </c>
      <c r="N16" s="10">
        <f>(1+Expansion_Rate-Rev_Churn-Contraction_Rate)^12</f>
        <v>0</v>
      </c>
      <c r="O16" s="10">
        <f>(1+Expansion_Rate-Rev_Churn-Contraction_Rate)^13</f>
        <v>0</v>
      </c>
      <c r="P16" s="10">
        <f>(1+Expansion_Rate-Rev_Churn-Contraction_Rate)^14</f>
        <v>0</v>
      </c>
      <c r="Q16" s="10">
        <f>(1+Expansion_Rate-Rev_Churn-Contraction_Rate)^15</f>
        <v>0</v>
      </c>
      <c r="R16" s="10">
        <f>(1+Expansion_Rate-Rev_Churn-Contraction_Rate)^16</f>
        <v>0</v>
      </c>
      <c r="S16" s="10">
        <f>(1+Expansion_Rate-Rev_Churn-Contraction_Rate)^17</f>
        <v>0</v>
      </c>
      <c r="T16" s="10">
        <f>(1+Expansion_Rate-Rev_Churn-Contraction_Rate)^18</f>
        <v>0</v>
      </c>
      <c r="U16" s="10">
        <f>(1+Expansion_Rate-Rev_Churn-Contraction_Rate)^19</f>
        <v>0</v>
      </c>
      <c r="V16" s="10">
        <f>(1+Expansion_Rate-Rev_Churn-Contraction_Rate)^20</f>
        <v>0</v>
      </c>
      <c r="W16" s="10">
        <f>(1+Expansion_Rate-Rev_Churn-Contraction_Rate)^21</f>
        <v>0</v>
      </c>
      <c r="X16" s="10">
        <f>(1+Expansion_Rate-Rev_Churn-Contraction_Rate)^22</f>
        <v>0</v>
      </c>
      <c r="Y16" s="10">
        <f>(1+Expansion_Rate-Rev_Churn-Contraction_Rate)^23</f>
        <v>0</v>
      </c>
      <c r="Z16" s="10">
        <f>(1+Expansion_Rate-Rev_Churn-Contraction_Rate)^24</f>
        <v>0</v>
      </c>
    </row>
    <row r="17" spans="1:26">
      <c r="A17" s="2" t="s">
        <v>170</v>
      </c>
      <c r="B17" s="10">
        <f>(1+Expansion_Rate-Rev_Churn-Contraction_Rate)^0</f>
        <v>0</v>
      </c>
      <c r="C17" s="10">
        <f>(1+Expansion_Rate-Rev_Churn-Contraction_Rate)^1</f>
        <v>0</v>
      </c>
      <c r="D17" s="10">
        <f>(1+Expansion_Rate-Rev_Churn-Contraction_Rate)^2</f>
        <v>0</v>
      </c>
      <c r="E17" s="10">
        <f>(1+Expansion_Rate-Rev_Churn-Contraction_Rate)^3</f>
        <v>0</v>
      </c>
      <c r="F17" s="10">
        <f>(1+Expansion_Rate-Rev_Churn-Contraction_Rate)^4</f>
        <v>0</v>
      </c>
      <c r="G17" s="10">
        <f>(1+Expansion_Rate-Rev_Churn-Contraction_Rate)^5</f>
        <v>0</v>
      </c>
      <c r="H17" s="10">
        <f>(1+Expansion_Rate-Rev_Churn-Contraction_Rate)^6</f>
        <v>0</v>
      </c>
      <c r="I17" s="10">
        <f>(1+Expansion_Rate-Rev_Churn-Contraction_Rate)^7</f>
        <v>0</v>
      </c>
      <c r="J17" s="10">
        <f>(1+Expansion_Rate-Rev_Churn-Contraction_Rate)^8</f>
        <v>0</v>
      </c>
      <c r="K17" s="10">
        <f>(1+Expansion_Rate-Rev_Churn-Contraction_Rate)^9</f>
        <v>0</v>
      </c>
      <c r="L17" s="10">
        <f>(1+Expansion_Rate-Rev_Churn-Contraction_Rate)^10</f>
        <v>0</v>
      </c>
      <c r="M17" s="10">
        <f>(1+Expansion_Rate-Rev_Churn-Contraction_Rate)^11</f>
        <v>0</v>
      </c>
      <c r="N17" s="10">
        <f>(1+Expansion_Rate-Rev_Churn-Contraction_Rate)^12</f>
        <v>0</v>
      </c>
      <c r="O17" s="10">
        <f>(1+Expansion_Rate-Rev_Churn-Contraction_Rate)^13</f>
        <v>0</v>
      </c>
      <c r="P17" s="10">
        <f>(1+Expansion_Rate-Rev_Churn-Contraction_Rate)^14</f>
        <v>0</v>
      </c>
      <c r="Q17" s="10">
        <f>(1+Expansion_Rate-Rev_Churn-Contraction_Rate)^15</f>
        <v>0</v>
      </c>
      <c r="R17" s="10">
        <f>(1+Expansion_Rate-Rev_Churn-Contraction_Rate)^16</f>
        <v>0</v>
      </c>
      <c r="S17" s="10">
        <f>(1+Expansion_Rate-Rev_Churn-Contraction_Rate)^17</f>
        <v>0</v>
      </c>
      <c r="T17" s="10">
        <f>(1+Expansion_Rate-Rev_Churn-Contraction_Rate)^18</f>
        <v>0</v>
      </c>
      <c r="U17" s="10">
        <f>(1+Expansion_Rate-Rev_Churn-Contraction_Rate)^19</f>
        <v>0</v>
      </c>
      <c r="V17" s="10">
        <f>(1+Expansion_Rate-Rev_Churn-Contraction_Rate)^20</f>
        <v>0</v>
      </c>
      <c r="W17" s="10">
        <f>(1+Expansion_Rate-Rev_Churn-Contraction_Rate)^21</f>
        <v>0</v>
      </c>
      <c r="X17" s="10">
        <f>(1+Expansion_Rate-Rev_Churn-Contraction_Rate)^22</f>
        <v>0</v>
      </c>
      <c r="Y17" s="10">
        <f>(1+Expansion_Rate-Rev_Churn-Contraction_Rate)^23</f>
        <v>0</v>
      </c>
      <c r="Z17" s="10">
        <f>(1+Expansion_Rate-Rev_Churn-Contraction_Rate)^24</f>
        <v>0</v>
      </c>
    </row>
    <row r="18" spans="1:26">
      <c r="A18" s="2" t="s">
        <v>171</v>
      </c>
      <c r="B18" s="10">
        <f>(1+Expansion_Rate-Rev_Churn-Contraction_Rate)^0</f>
        <v>0</v>
      </c>
      <c r="C18" s="10">
        <f>(1+Expansion_Rate-Rev_Churn-Contraction_Rate)^1</f>
        <v>0</v>
      </c>
      <c r="D18" s="10">
        <f>(1+Expansion_Rate-Rev_Churn-Contraction_Rate)^2</f>
        <v>0</v>
      </c>
      <c r="E18" s="10">
        <f>(1+Expansion_Rate-Rev_Churn-Contraction_Rate)^3</f>
        <v>0</v>
      </c>
      <c r="F18" s="10">
        <f>(1+Expansion_Rate-Rev_Churn-Contraction_Rate)^4</f>
        <v>0</v>
      </c>
      <c r="G18" s="10">
        <f>(1+Expansion_Rate-Rev_Churn-Contraction_Rate)^5</f>
        <v>0</v>
      </c>
      <c r="H18" s="10">
        <f>(1+Expansion_Rate-Rev_Churn-Contraction_Rate)^6</f>
        <v>0</v>
      </c>
      <c r="I18" s="10">
        <f>(1+Expansion_Rate-Rev_Churn-Contraction_Rate)^7</f>
        <v>0</v>
      </c>
      <c r="J18" s="10">
        <f>(1+Expansion_Rate-Rev_Churn-Contraction_Rate)^8</f>
        <v>0</v>
      </c>
      <c r="K18" s="10">
        <f>(1+Expansion_Rate-Rev_Churn-Contraction_Rate)^9</f>
        <v>0</v>
      </c>
      <c r="L18" s="10">
        <f>(1+Expansion_Rate-Rev_Churn-Contraction_Rate)^10</f>
        <v>0</v>
      </c>
      <c r="M18" s="10">
        <f>(1+Expansion_Rate-Rev_Churn-Contraction_Rate)^11</f>
        <v>0</v>
      </c>
      <c r="N18" s="10">
        <f>(1+Expansion_Rate-Rev_Churn-Contraction_Rate)^12</f>
        <v>0</v>
      </c>
      <c r="O18" s="10">
        <f>(1+Expansion_Rate-Rev_Churn-Contraction_Rate)^13</f>
        <v>0</v>
      </c>
      <c r="P18" s="10">
        <f>(1+Expansion_Rate-Rev_Churn-Contraction_Rate)^14</f>
        <v>0</v>
      </c>
      <c r="Q18" s="10">
        <f>(1+Expansion_Rate-Rev_Churn-Contraction_Rate)^15</f>
        <v>0</v>
      </c>
      <c r="R18" s="10">
        <f>(1+Expansion_Rate-Rev_Churn-Contraction_Rate)^16</f>
        <v>0</v>
      </c>
      <c r="S18" s="10">
        <f>(1+Expansion_Rate-Rev_Churn-Contraction_Rate)^17</f>
        <v>0</v>
      </c>
      <c r="T18" s="10">
        <f>(1+Expansion_Rate-Rev_Churn-Contraction_Rate)^18</f>
        <v>0</v>
      </c>
      <c r="U18" s="10">
        <f>(1+Expansion_Rate-Rev_Churn-Contraction_Rate)^19</f>
        <v>0</v>
      </c>
      <c r="V18" s="10">
        <f>(1+Expansion_Rate-Rev_Churn-Contraction_Rate)^20</f>
        <v>0</v>
      </c>
      <c r="W18" s="10">
        <f>(1+Expansion_Rate-Rev_Churn-Contraction_Rate)^21</f>
        <v>0</v>
      </c>
      <c r="X18" s="10">
        <f>(1+Expansion_Rate-Rev_Churn-Contraction_Rate)^22</f>
        <v>0</v>
      </c>
      <c r="Y18" s="10">
        <f>(1+Expansion_Rate-Rev_Churn-Contraction_Rate)^23</f>
        <v>0</v>
      </c>
      <c r="Z18" s="10">
        <f>(1+Expansion_Rate-Rev_Churn-Contraction_Rate)^24</f>
        <v>0</v>
      </c>
    </row>
    <row r="19" spans="1:26">
      <c r="A19" s="2" t="s">
        <v>172</v>
      </c>
      <c r="B19" s="10">
        <f>(1+Expansion_Rate-Rev_Churn-Contraction_Rate)^0</f>
        <v>0</v>
      </c>
      <c r="C19" s="10">
        <f>(1+Expansion_Rate-Rev_Churn-Contraction_Rate)^1</f>
        <v>0</v>
      </c>
      <c r="D19" s="10">
        <f>(1+Expansion_Rate-Rev_Churn-Contraction_Rate)^2</f>
        <v>0</v>
      </c>
      <c r="E19" s="10">
        <f>(1+Expansion_Rate-Rev_Churn-Contraction_Rate)^3</f>
        <v>0</v>
      </c>
      <c r="F19" s="10">
        <f>(1+Expansion_Rate-Rev_Churn-Contraction_Rate)^4</f>
        <v>0</v>
      </c>
      <c r="G19" s="10">
        <f>(1+Expansion_Rate-Rev_Churn-Contraction_Rate)^5</f>
        <v>0</v>
      </c>
      <c r="H19" s="10">
        <f>(1+Expansion_Rate-Rev_Churn-Contraction_Rate)^6</f>
        <v>0</v>
      </c>
      <c r="I19" s="10">
        <f>(1+Expansion_Rate-Rev_Churn-Contraction_Rate)^7</f>
        <v>0</v>
      </c>
      <c r="J19" s="10">
        <f>(1+Expansion_Rate-Rev_Churn-Contraction_Rate)^8</f>
        <v>0</v>
      </c>
      <c r="K19" s="10">
        <f>(1+Expansion_Rate-Rev_Churn-Contraction_Rate)^9</f>
        <v>0</v>
      </c>
      <c r="L19" s="10">
        <f>(1+Expansion_Rate-Rev_Churn-Contraction_Rate)^10</f>
        <v>0</v>
      </c>
      <c r="M19" s="10">
        <f>(1+Expansion_Rate-Rev_Churn-Contraction_Rate)^11</f>
        <v>0</v>
      </c>
      <c r="N19" s="10">
        <f>(1+Expansion_Rate-Rev_Churn-Contraction_Rate)^12</f>
        <v>0</v>
      </c>
      <c r="O19" s="10">
        <f>(1+Expansion_Rate-Rev_Churn-Contraction_Rate)^13</f>
        <v>0</v>
      </c>
      <c r="P19" s="10">
        <f>(1+Expansion_Rate-Rev_Churn-Contraction_Rate)^14</f>
        <v>0</v>
      </c>
      <c r="Q19" s="10">
        <f>(1+Expansion_Rate-Rev_Churn-Contraction_Rate)^15</f>
        <v>0</v>
      </c>
      <c r="R19" s="10">
        <f>(1+Expansion_Rate-Rev_Churn-Contraction_Rate)^16</f>
        <v>0</v>
      </c>
      <c r="S19" s="10">
        <f>(1+Expansion_Rate-Rev_Churn-Contraction_Rate)^17</f>
        <v>0</v>
      </c>
      <c r="T19" s="10">
        <f>(1+Expansion_Rate-Rev_Churn-Contraction_Rate)^18</f>
        <v>0</v>
      </c>
      <c r="U19" s="10">
        <f>(1+Expansion_Rate-Rev_Churn-Contraction_Rate)^19</f>
        <v>0</v>
      </c>
      <c r="V19" s="10">
        <f>(1+Expansion_Rate-Rev_Churn-Contraction_Rate)^20</f>
        <v>0</v>
      </c>
      <c r="W19" s="10">
        <f>(1+Expansion_Rate-Rev_Churn-Contraction_Rate)^21</f>
        <v>0</v>
      </c>
      <c r="X19" s="10">
        <f>(1+Expansion_Rate-Rev_Churn-Contraction_Rate)^22</f>
        <v>0</v>
      </c>
      <c r="Y19" s="10">
        <f>(1+Expansion_Rate-Rev_Churn-Contraction_Rate)^23</f>
        <v>0</v>
      </c>
      <c r="Z19" s="10">
        <f>(1+Expansion_Rate-Rev_Churn-Contraction_Rate)^24</f>
        <v>0</v>
      </c>
    </row>
    <row r="20" spans="1:26">
      <c r="A20" s="2" t="s">
        <v>173</v>
      </c>
      <c r="B20" s="10">
        <f>(1+Expansion_Rate-Rev_Churn-Contraction_Rate)^0</f>
        <v>0</v>
      </c>
      <c r="C20" s="10">
        <f>(1+Expansion_Rate-Rev_Churn-Contraction_Rate)^1</f>
        <v>0</v>
      </c>
      <c r="D20" s="10">
        <f>(1+Expansion_Rate-Rev_Churn-Contraction_Rate)^2</f>
        <v>0</v>
      </c>
      <c r="E20" s="10">
        <f>(1+Expansion_Rate-Rev_Churn-Contraction_Rate)^3</f>
        <v>0</v>
      </c>
      <c r="F20" s="10">
        <f>(1+Expansion_Rate-Rev_Churn-Contraction_Rate)^4</f>
        <v>0</v>
      </c>
      <c r="G20" s="10">
        <f>(1+Expansion_Rate-Rev_Churn-Contraction_Rate)^5</f>
        <v>0</v>
      </c>
      <c r="H20" s="10">
        <f>(1+Expansion_Rate-Rev_Churn-Contraction_Rate)^6</f>
        <v>0</v>
      </c>
      <c r="I20" s="10">
        <f>(1+Expansion_Rate-Rev_Churn-Contraction_Rate)^7</f>
        <v>0</v>
      </c>
      <c r="J20" s="10">
        <f>(1+Expansion_Rate-Rev_Churn-Contraction_Rate)^8</f>
        <v>0</v>
      </c>
      <c r="K20" s="10">
        <f>(1+Expansion_Rate-Rev_Churn-Contraction_Rate)^9</f>
        <v>0</v>
      </c>
      <c r="L20" s="10">
        <f>(1+Expansion_Rate-Rev_Churn-Contraction_Rate)^10</f>
        <v>0</v>
      </c>
      <c r="M20" s="10">
        <f>(1+Expansion_Rate-Rev_Churn-Contraction_Rate)^11</f>
        <v>0</v>
      </c>
      <c r="N20" s="10">
        <f>(1+Expansion_Rate-Rev_Churn-Contraction_Rate)^12</f>
        <v>0</v>
      </c>
      <c r="O20" s="10">
        <f>(1+Expansion_Rate-Rev_Churn-Contraction_Rate)^13</f>
        <v>0</v>
      </c>
      <c r="P20" s="10">
        <f>(1+Expansion_Rate-Rev_Churn-Contraction_Rate)^14</f>
        <v>0</v>
      </c>
      <c r="Q20" s="10">
        <f>(1+Expansion_Rate-Rev_Churn-Contraction_Rate)^15</f>
        <v>0</v>
      </c>
      <c r="R20" s="10">
        <f>(1+Expansion_Rate-Rev_Churn-Contraction_Rate)^16</f>
        <v>0</v>
      </c>
      <c r="S20" s="10">
        <f>(1+Expansion_Rate-Rev_Churn-Contraction_Rate)^17</f>
        <v>0</v>
      </c>
      <c r="T20" s="10">
        <f>(1+Expansion_Rate-Rev_Churn-Contraction_Rate)^18</f>
        <v>0</v>
      </c>
      <c r="U20" s="10">
        <f>(1+Expansion_Rate-Rev_Churn-Contraction_Rate)^19</f>
        <v>0</v>
      </c>
      <c r="V20" s="10">
        <f>(1+Expansion_Rate-Rev_Churn-Contraction_Rate)^20</f>
        <v>0</v>
      </c>
      <c r="W20" s="10">
        <f>(1+Expansion_Rate-Rev_Churn-Contraction_Rate)^21</f>
        <v>0</v>
      </c>
      <c r="X20" s="10">
        <f>(1+Expansion_Rate-Rev_Churn-Contraction_Rate)^22</f>
        <v>0</v>
      </c>
      <c r="Y20" s="10">
        <f>(1+Expansion_Rate-Rev_Churn-Contraction_Rate)^23</f>
        <v>0</v>
      </c>
      <c r="Z20" s="10">
        <f>(1+Expansion_Rate-Rev_Churn-Contraction_Rate)^24</f>
        <v>0</v>
      </c>
    </row>
    <row r="21" spans="1:26">
      <c r="A21" s="2" t="s">
        <v>174</v>
      </c>
      <c r="B21" s="10">
        <f>(1+Expansion_Rate-Rev_Churn-Contraction_Rate)^0</f>
        <v>0</v>
      </c>
      <c r="C21" s="10">
        <f>(1+Expansion_Rate-Rev_Churn-Contraction_Rate)^1</f>
        <v>0</v>
      </c>
      <c r="D21" s="10">
        <f>(1+Expansion_Rate-Rev_Churn-Contraction_Rate)^2</f>
        <v>0</v>
      </c>
      <c r="E21" s="10">
        <f>(1+Expansion_Rate-Rev_Churn-Contraction_Rate)^3</f>
        <v>0</v>
      </c>
      <c r="F21" s="10">
        <f>(1+Expansion_Rate-Rev_Churn-Contraction_Rate)^4</f>
        <v>0</v>
      </c>
      <c r="G21" s="10">
        <f>(1+Expansion_Rate-Rev_Churn-Contraction_Rate)^5</f>
        <v>0</v>
      </c>
      <c r="H21" s="10">
        <f>(1+Expansion_Rate-Rev_Churn-Contraction_Rate)^6</f>
        <v>0</v>
      </c>
      <c r="I21" s="10">
        <f>(1+Expansion_Rate-Rev_Churn-Contraction_Rate)^7</f>
        <v>0</v>
      </c>
      <c r="J21" s="10">
        <f>(1+Expansion_Rate-Rev_Churn-Contraction_Rate)^8</f>
        <v>0</v>
      </c>
      <c r="K21" s="10">
        <f>(1+Expansion_Rate-Rev_Churn-Contraction_Rate)^9</f>
        <v>0</v>
      </c>
      <c r="L21" s="10">
        <f>(1+Expansion_Rate-Rev_Churn-Contraction_Rate)^10</f>
        <v>0</v>
      </c>
      <c r="M21" s="10">
        <f>(1+Expansion_Rate-Rev_Churn-Contraction_Rate)^11</f>
        <v>0</v>
      </c>
      <c r="N21" s="10">
        <f>(1+Expansion_Rate-Rev_Churn-Contraction_Rate)^12</f>
        <v>0</v>
      </c>
      <c r="O21" s="10">
        <f>(1+Expansion_Rate-Rev_Churn-Contraction_Rate)^13</f>
        <v>0</v>
      </c>
      <c r="P21" s="10">
        <f>(1+Expansion_Rate-Rev_Churn-Contraction_Rate)^14</f>
        <v>0</v>
      </c>
      <c r="Q21" s="10">
        <f>(1+Expansion_Rate-Rev_Churn-Contraction_Rate)^15</f>
        <v>0</v>
      </c>
      <c r="R21" s="10">
        <f>(1+Expansion_Rate-Rev_Churn-Contraction_Rate)^16</f>
        <v>0</v>
      </c>
      <c r="S21" s="10">
        <f>(1+Expansion_Rate-Rev_Churn-Contraction_Rate)^17</f>
        <v>0</v>
      </c>
      <c r="T21" s="10">
        <f>(1+Expansion_Rate-Rev_Churn-Contraction_Rate)^18</f>
        <v>0</v>
      </c>
      <c r="U21" s="10">
        <f>(1+Expansion_Rate-Rev_Churn-Contraction_Rate)^19</f>
        <v>0</v>
      </c>
      <c r="V21" s="10">
        <f>(1+Expansion_Rate-Rev_Churn-Contraction_Rate)^20</f>
        <v>0</v>
      </c>
      <c r="W21" s="10">
        <f>(1+Expansion_Rate-Rev_Churn-Contraction_Rate)^21</f>
        <v>0</v>
      </c>
      <c r="X21" s="10">
        <f>(1+Expansion_Rate-Rev_Churn-Contraction_Rate)^22</f>
        <v>0</v>
      </c>
      <c r="Y21" s="10">
        <f>(1+Expansion_Rate-Rev_Churn-Contraction_Rate)^23</f>
        <v>0</v>
      </c>
      <c r="Z21" s="10">
        <f>(1+Expansion_Rate-Rev_Churn-Contraction_Rate)^24</f>
        <v>0</v>
      </c>
    </row>
  </sheetData>
  <mergeCells count="1">
    <mergeCell ref="A1:Z1"/>
  </mergeCells>
  <conditionalFormatting sqref="B16:Z21">
    <cfRule type="colorScale" priority="2">
      <colorScale>
        <cfvo type="num" val="0.5"/>
        <cfvo type="num" val="1.0"/>
        <cfvo type="num" val="1.4"/>
        <color rgb="FFF8696B"/>
        <color rgb="FFFFEB84"/>
        <color rgb="FF63BE7B"/>
      </colorScale>
    </cfRule>
  </conditionalFormatting>
  <conditionalFormatting sqref="B6:Z11">
    <cfRule type="colorScale" priority="1">
      <colorScale>
        <cfvo type="num" val="0.3"/>
        <cfvo type="num" val="0.6"/>
        <cfvo type="num" val="1.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30.7109375" customWidth="1"/>
    <col min="2" max="2" width="18.7109375" customWidth="1"/>
    <col min="3" max="3" width="22.7109375" customWidth="1"/>
    <col min="4" max="4" width="28.7109375" customWidth="1"/>
  </cols>
  <sheetData>
    <row r="1" spans="1:4" ht="30" customHeight="1">
      <c r="A1" s="1" t="s">
        <v>177</v>
      </c>
      <c r="B1" s="1"/>
      <c r="C1" s="1"/>
      <c r="D1" s="1"/>
    </row>
    <row r="4" spans="1:4" ht="24" customHeight="1">
      <c r="A4" s="19" t="s">
        <v>115</v>
      </c>
      <c r="B4" s="20">
        <f>(Blended_ARPA*GM_Pct/Logo_Churn)/Blended_CAC</f>
        <v>0</v>
      </c>
    </row>
    <row r="5" spans="1:4" ht="24" customHeight="1">
      <c r="A5" s="19" t="s">
        <v>178</v>
      </c>
      <c r="B5" s="20">
        <f>Blended_CAC/(Blended_ARPA*GM_Pct)</f>
        <v>0</v>
      </c>
    </row>
    <row r="6" spans="1:4" ht="24" customHeight="1">
      <c r="A6" s="19" t="s">
        <v>179</v>
      </c>
      <c r="B6" s="21">
        <f>GM_Pct</f>
        <v>0</v>
      </c>
    </row>
    <row r="7" spans="1:4" ht="24" customHeight="1">
      <c r="A7" s="19" t="s">
        <v>180</v>
      </c>
      <c r="B7" s="21">
        <f>1+(Expansion_Rate-Rev_Churn-Contraction_Rate)*12</f>
        <v>0</v>
      </c>
    </row>
    <row r="8" spans="1:4" ht="24" customHeight="1">
      <c r="A8" s="19" t="s">
        <v>181</v>
      </c>
      <c r="B8" s="21">
        <f>MAX(0, 1-Rev_Churn*12)</f>
        <v>0</v>
      </c>
    </row>
    <row r="9" spans="1:4" ht="24" customHeight="1">
      <c r="A9" s="19" t="s">
        <v>128</v>
      </c>
      <c r="B9" s="21">
        <f>YoY_Growth+EBITDA_Margin</f>
        <v>0</v>
      </c>
    </row>
    <row r="10" spans="1:4" ht="24" customHeight="1">
      <c r="A10" s="19" t="s">
        <v>125</v>
      </c>
      <c r="B10" s="20">
        <f>(Net_New_ARR*4)/Prior_SM</f>
        <v>0</v>
      </c>
    </row>
    <row r="11" spans="1:4" ht="24" customHeight="1">
      <c r="A11" s="19" t="s">
        <v>131</v>
      </c>
      <c r="B11" s="20">
        <f>IF(Net_New_ARR&gt;0, Net_Burn/Net_New_ARR, 999)</f>
        <v>0</v>
      </c>
    </row>
    <row r="12" spans="1:4" ht="24" customHeight="1">
      <c r="A12" s="19" t="s">
        <v>182</v>
      </c>
      <c r="B12" s="22">
        <f>Blended_ARPA</f>
        <v>0</v>
      </c>
    </row>
    <row r="13" spans="1:4" ht="24" customHeight="1">
      <c r="A13" s="19" t="s">
        <v>183</v>
      </c>
      <c r="B13" s="22">
        <f>ACV</f>
        <v>0</v>
      </c>
    </row>
    <row r="21" spans="1:2">
      <c r="A21" s="4" t="s">
        <v>184</v>
      </c>
    </row>
    <row r="22" spans="1:2">
      <c r="A22" s="2" t="s">
        <v>185</v>
      </c>
      <c r="B22" s="9">
        <f>Blended_ARPA*GM_Pct/Logo_Churn</f>
        <v>0</v>
      </c>
    </row>
    <row r="23" spans="1:2">
      <c r="A23" s="2" t="s">
        <v>186</v>
      </c>
      <c r="B23" s="9">
        <f>Blended_CAC</f>
        <v>0</v>
      </c>
    </row>
    <row r="24" spans="1:2">
      <c r="A24" s="2" t="s">
        <v>187</v>
      </c>
      <c r="B24" s="9">
        <f>3*Blended_CAC</f>
        <v>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23" t="s">
        <v>188</v>
      </c>
      <c r="B1" s="23"/>
    </row>
    <row r="3" spans="1:2" ht="60" customHeight="1">
      <c r="A3" s="2" t="s">
        <v>189</v>
      </c>
      <c r="B3" s="24" t="s">
        <v>190</v>
      </c>
    </row>
    <row r="4" spans="1:2" ht="60" customHeight="1">
      <c r="A4" s="2" t="s">
        <v>191</v>
      </c>
      <c r="B4" s="24" t="s">
        <v>192</v>
      </c>
    </row>
    <row r="5" spans="1:2" ht="60" customHeight="1">
      <c r="A5" s="2" t="s">
        <v>193</v>
      </c>
      <c r="B5" s="24" t="s">
        <v>194</v>
      </c>
    </row>
    <row r="6" spans="1:2" ht="60" customHeight="1">
      <c r="A6" s="2" t="s">
        <v>195</v>
      </c>
      <c r="B6" s="24" t="s">
        <v>196</v>
      </c>
    </row>
    <row r="7" spans="1:2" ht="60" customHeight="1">
      <c r="A7" s="2" t="s">
        <v>197</v>
      </c>
      <c r="B7" s="24" t="s">
        <v>198</v>
      </c>
    </row>
    <row r="8" spans="1:2" ht="60" customHeight="1">
      <c r="A8" s="2" t="s">
        <v>199</v>
      </c>
      <c r="B8" s="24" t="s">
        <v>200</v>
      </c>
    </row>
    <row r="9" spans="1:2" ht="60" customHeight="1">
      <c r="A9" s="2" t="s">
        <v>201</v>
      </c>
      <c r="B9" s="24" t="s">
        <v>202</v>
      </c>
    </row>
    <row r="10" spans="1:2" ht="60" customHeight="1">
      <c r="A10" s="2" t="s">
        <v>203</v>
      </c>
      <c r="B10" s="24" t="s">
        <v>204</v>
      </c>
    </row>
    <row r="11" spans="1:2" ht="60" customHeight="1">
      <c r="A11" s="2" t="s">
        <v>205</v>
      </c>
      <c r="B11" s="24" t="s">
        <v>206</v>
      </c>
    </row>
    <row r="12" spans="1:2" ht="60" customHeight="1">
      <c r="A12" s="2" t="s">
        <v>207</v>
      </c>
      <c r="B12" s="24" t="s">
        <v>208</v>
      </c>
    </row>
    <row r="13" spans="1:2" ht="60" customHeight="1">
      <c r="A13" s="2" t="s">
        <v>209</v>
      </c>
      <c r="B13" s="24" t="s">
        <v>210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README</vt:lpstr>
      <vt:lpstr>Inputs</vt:lpstr>
      <vt:lpstr>Calc</vt:lpstr>
      <vt:lpstr>Cohort</vt:lpstr>
      <vt:lpstr>Dashboard</vt:lpstr>
      <vt:lpstr>Africa-Notes</vt:lpstr>
      <vt:lpstr>ACV</vt:lpstr>
      <vt:lpstr>Blended_ARPA</vt:lpstr>
      <vt:lpstr>Blended_CAC</vt:lpstr>
      <vt:lpstr>Contraction_Rate</vt:lpstr>
      <vt:lpstr>EBITDA_Margin</vt:lpstr>
      <vt:lpstr>Expansion_Rate</vt:lpstr>
      <vt:lpstr>FX_Rate</vt:lpstr>
      <vt:lpstr>GM_Pct</vt:lpstr>
      <vt:lpstr>Involuntary_Churn</vt:lpstr>
      <vt:lpstr>Logo_Churn</vt:lpstr>
      <vt:lpstr>Net_Burn</vt:lpstr>
      <vt:lpstr>Net_New_ARR</vt:lpstr>
      <vt:lpstr>New_Logos</vt:lpstr>
      <vt:lpstr>Prior_SM</vt:lpstr>
      <vt:lpstr>Rev_Churn</vt:lpstr>
      <vt:lpstr>SM_Spend</vt:lpstr>
      <vt:lpstr>YoY_Growth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2026-05-11T12:45:15Z</dcterms:created>
  <dcterms:modified xsi:type="dcterms:W3CDTF">2026-05-11T12:45:15Z</dcterms:modified>
</cp:coreProperties>
</file>